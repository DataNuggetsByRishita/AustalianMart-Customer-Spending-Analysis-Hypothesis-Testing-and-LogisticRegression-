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charts/chartEx3.xml" ContentType="application/vnd.ms-office.chartex+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pivotTables/pivotTable5.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tables/table21.xml" ContentType="application/vnd.openxmlformats-officedocument.spreadsheetml.tab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hidePivotFieldList="1" defaultThemeVersion="124226"/>
  <mc:AlternateContent xmlns:mc="http://schemas.openxmlformats.org/markup-compatibility/2006">
    <mc:Choice Requires="x15">
      <x15ac:absPath xmlns:x15ac="http://schemas.microsoft.com/office/spreadsheetml/2010/11/ac" url="https://deakin365-my.sharepoint.com/personal/s225125235_deakin_edu_au/Documents/"/>
    </mc:Choice>
  </mc:AlternateContent>
  <xr:revisionPtr revIDLastSave="17" documentId="8_{493583F0-CB82-3947-9DDE-544FCE273E2D}" xr6:coauthVersionLast="47" xr6:coauthVersionMax="47" xr10:uidLastSave="{DF108B0E-7108-5C47-A668-D5AA72DA9EF6}"/>
  <bookViews>
    <workbookView xWindow="0" yWindow="860" windowWidth="34200" windowHeight="21380" activeTab="9" xr2:uid="{00000000-000D-0000-FFFF-FFFF00000000}"/>
  </bookViews>
  <sheets>
    <sheet name="Variable Descriptions" sheetId="2" r:id="rId1"/>
    <sheet name="Customer Data Set" sheetId="1" r:id="rId2"/>
    <sheet name="Q1(a)" sheetId="3" r:id="rId3"/>
    <sheet name="Q1(b)" sheetId="4" r:id="rId4"/>
    <sheet name="Q2(a)" sheetId="5" r:id="rId5"/>
    <sheet name="Q2(b)" sheetId="6" r:id="rId6"/>
    <sheet name="Q2(c)" sheetId="7" r:id="rId7"/>
    <sheet name="Q3(a)" sheetId="8" r:id="rId8"/>
    <sheet name="Q3(b)" sheetId="9" r:id="rId9"/>
    <sheet name="Q4(a)" sheetId="10" r:id="rId10"/>
    <sheet name="Q4(b)" sheetId="11" r:id="rId11"/>
    <sheet name="Q5" sheetId="12" r:id="rId12"/>
    <sheet name="CI" sheetId="13" r:id="rId13"/>
    <sheet name="HT" sheetId="14" r:id="rId14"/>
    <sheet name="SampleSize" sheetId="15" r:id="rId15"/>
  </sheets>
  <externalReferences>
    <externalReference r:id="rId16"/>
  </externalReferences>
  <definedNames>
    <definedName name="_Bins1" localSheetId="13">ROUND((MOD(ROW(OFFSET(#REF!,0,0,_NumClasses1-1,1)),1)+#REF!)+(ROW(OFFSET(#REF!,0,0,_NumClasses1-1,1))-1)*_Spacing1,0)</definedName>
    <definedName name="_Bins1" localSheetId="14">ROUND((MOD(ROW(OFFSET(#REF!,0,0,_NumClasses1-1,1)),1)+#REF!)+(ROW(OFFSET(#REF!,0,0,_NumClasses1-1,1))-1)*_Spacing1,0)</definedName>
    <definedName name="_Bins1">ROUND((MOD(ROW(OFFSET(#REF!,0,0,_NumClasses1-1,1)),1)+#REF!)+(ROW(OFFSET(#REF!,0,0,_NumClasses1-1,1))-1)*_Spacing1,0)</definedName>
    <definedName name="_Bins1_Displaced" localSheetId="13">ROUND((MOD(ROW(OFFSET(#REF!,0,0,_NumClasses1-1,1)),1)+#REF!)+(ROW(OFFSET(#REF!,0,0,_NumClasses1-1,1))-2)*_Spacing1,0)</definedName>
    <definedName name="_Bins1_Displaced" localSheetId="14">ROUND((MOD(ROW(OFFSET(#REF!,0,0,_NumClasses1-1,1)),1)+#REF!)+(ROW(OFFSET(#REF!,0,0,_NumClasses1-1,1))-2)*_Spacing1,0)</definedName>
    <definedName name="_Bins1_Displaced">ROUND((MOD(ROW(OFFSET(#REF!,0,0,_NumClasses1-1,1)),1)+#REF!)+(ROW(OFFSET(#REF!,0,0,_NumClasses1-1,1))-2)*_Spacing1,0)</definedName>
    <definedName name="_Conditions3">#REF!</definedName>
    <definedName name="_xlnm._FilterDatabase" localSheetId="1" hidden="1">'Customer Data Set'!$A$1:$P$401</definedName>
    <definedName name="_xlnm._FilterDatabase" localSheetId="5" hidden="1">'Q2(b)'!$A$1:$B$401</definedName>
    <definedName name="_xlnm._FilterDatabase" localSheetId="6" hidden="1">'Q2(c)'!$A$1:$C$401</definedName>
    <definedName name="_Frequency1" localSheetId="13">FREQUENCY(_HousePrices,HT!_Bins1)</definedName>
    <definedName name="_Frequency1" localSheetId="14">FREQUENCY(_HousePrices,SampleSize!_Bins1)</definedName>
    <definedName name="_Frequency1">FREQUENCY(_HousePrices,_Bins1)</definedName>
    <definedName name="_HorLabels1" localSheetId="13">IF(ROW(OFFSET(#REF!,0,0,_NumClasses1,1))=1,"Up to "&amp;#REF!,IF(ROW(OFFSET(#REF!,0,0,_NumClasses1,1))=_NumClasses1,"Greater than "&amp;#REF!,"Greater than " &amp;HT!_Bins1_Displaced&amp;" to "&amp;HT!_Bins1))</definedName>
    <definedName name="_HorLabels1" localSheetId="14">IF(ROW(OFFSET(#REF!,0,0,_NumClasses1,1))=1,"Up to "&amp;#REF!,IF(ROW(OFFSET(#REF!,0,0,_NumClasses1,1))=_NumClasses1,"Greater than "&amp;#REF!,"Greater than " &amp;SampleSize!_Bins1_Displaced&amp;" to "&amp;SampleSize!_Bins1))</definedName>
    <definedName name="_HorLabels1">IF(ROW(OFFSET(#REF!,0,0,_NumClasses1,1))=1,"Up to "&amp;#REF!,IF(ROW(OFFSET(#REF!,0,0,_NumClasses1,1))=_NumClasses1,"Greater than "&amp;#REF!,"Greater than " &amp;_Bins1_Displaced&amp;" to "&amp;_Bins1))</definedName>
    <definedName name="_HousePrices">#REF!</definedName>
    <definedName name="_HousePrices1A">IF(#REF!=1,#REF!,"")</definedName>
    <definedName name="_HousePrices1B">IF(#REF!=2,#REF!,"")</definedName>
    <definedName name="_HousePrices1C">IF(#REF!=3,#REF!,"")</definedName>
    <definedName name="_HousePrices3_Excellent">IF(#REF!=4,#REF!,"")</definedName>
    <definedName name="_HousePrices3_Good">IF(#REF!=3,#REF!,"")</definedName>
    <definedName name="_HousePrices3_Poor">IF(#REF!=2,#REF!,"")</definedName>
    <definedName name="_HousePrices3_VeryPoor">IF(#REF!=1,#REF!,"")</definedName>
    <definedName name="_HousePrices4_Owner">IF(#REF!=3,#REF!,"")</definedName>
    <definedName name="_HousePrices4_Rented">IF(#REF!=2,#REF!,"")</definedName>
    <definedName name="_HousePrices4_Vacant">IF(#REF!=1,#REF!,"")</definedName>
    <definedName name="_Mean2BySuburb">#REF!</definedName>
    <definedName name="_Mean3ByCondition">#REF!</definedName>
    <definedName name="_Mean4ByRentalStatus">#REF!</definedName>
    <definedName name="_NumClasses1">MAX(1,#REF!)</definedName>
    <definedName name="_RelFrequency1" localSheetId="13">HT!_Frequency1/#REF!*100</definedName>
    <definedName name="_RelFrequency1" localSheetId="14">SampleSize!_Frequency1/#REF!*100</definedName>
    <definedName name="_RelFrequency1">_Frequency1/#REF!*100</definedName>
    <definedName name="_RelFrequency2A" localSheetId="13">FREQUENCY(_HousePrices1A,HT!_Bins1)/#REF!*100</definedName>
    <definedName name="_RelFrequency2A" localSheetId="14">FREQUENCY(_HousePrices1A,SampleSize!_Bins1)/#REF!*100</definedName>
    <definedName name="_RelFrequency2A">FREQUENCY(_HousePrices1A,_Bins1)/#REF!*100</definedName>
    <definedName name="_RelFrequency2B" localSheetId="13">FREQUENCY(_HousePrices1B,HT!_Bins1)/#REF!*100</definedName>
    <definedName name="_RelFrequency2B" localSheetId="14">FREQUENCY(_HousePrices1B,SampleSize!_Bins1)/#REF!*100</definedName>
    <definedName name="_RelFrequency2B">FREQUENCY(_HousePrices1B,_Bins1)/#REF!*100</definedName>
    <definedName name="_RelFrequency2C" localSheetId="13">FREQUENCY(_HousePrices1C,HT!_Bins1)/#REF!*100</definedName>
    <definedName name="_RelFrequency2C" localSheetId="14">FREQUENCY(_HousePrices1C,SampleSize!_Bins1)/#REF!*100</definedName>
    <definedName name="_RelFrequency2C">FREQUENCY(_HousePrices1C,_Bins1)/#REF!*100</definedName>
    <definedName name="_RelFrequency3b_Excellent" localSheetId="13">FREQUENCY(_HousePrices3_Excellent,HT!_Bins1)/#REF!*100</definedName>
    <definedName name="_RelFrequency3b_Excellent" localSheetId="14">FREQUENCY(_HousePrices3_Excellent,SampleSize!_Bins1)/#REF!*100</definedName>
    <definedName name="_RelFrequency3b_Excellent">FREQUENCY(_HousePrices3_Excellent,_Bins1)/#REF!*100</definedName>
    <definedName name="_RelFrequency3b_Good" localSheetId="13">FREQUENCY(_HousePrices3_Good,HT!_Bins1)/#REF!*100</definedName>
    <definedName name="_RelFrequency3b_Good" localSheetId="14">FREQUENCY(_HousePrices3_Good,SampleSize!_Bins1)/#REF!*100</definedName>
    <definedName name="_RelFrequency3b_Good">FREQUENCY(_HousePrices3_Good,_Bins1)/#REF!*100</definedName>
    <definedName name="_RelFrequency3b_Poor" localSheetId="13">FREQUENCY(_HousePrices3_Poor,HT!_Bins1)/#REF!*100</definedName>
    <definedName name="_RelFrequency3b_Poor" localSheetId="14">FREQUENCY(_HousePrices3_Poor,SampleSize!_Bins1)/#REF!*100</definedName>
    <definedName name="_RelFrequency3b_Poor">FREQUENCY(_HousePrices3_Poor,_Bins1)/#REF!*100</definedName>
    <definedName name="_RelFrequency3b_VeryPoor" localSheetId="13">FREQUENCY(_HousePrices3_VeryPoor,HT!_Bins1)/#REF!*100</definedName>
    <definedName name="_RelFrequency3b_VeryPoor" localSheetId="14">FREQUENCY(_HousePrices3_VeryPoor,SampleSize!_Bins1)/#REF!*100</definedName>
    <definedName name="_RelFrequency3b_VeryPoor">FREQUENCY(_HousePrices3_VeryPoor,_Bins1)/#REF!*100</definedName>
    <definedName name="_RelFrequency4_Owner" localSheetId="13">FREQUENCY(_HousePrices4_Owner,HT!_Bins1)/#REF!*100</definedName>
    <definedName name="_RelFrequency4_Owner" localSheetId="14">FREQUENCY(_HousePrices4_Owner,SampleSize!_Bins1)/#REF!*100</definedName>
    <definedName name="_RelFrequency4_Owner">FREQUENCY(_HousePrices4_Owner,_Bins1)/#REF!*100</definedName>
    <definedName name="_RelFrequency4_Rented" localSheetId="13">FREQUENCY(_HousePrices4_Rented,HT!_Bins1)/#REF!*100</definedName>
    <definedName name="_RelFrequency4_Rented" localSheetId="14">FREQUENCY(_HousePrices4_Rented,SampleSize!_Bins1)/#REF!*100</definedName>
    <definedName name="_RelFrequency4_Rented">FREQUENCY(_HousePrices4_Rented,_Bins1)/#REF!*100</definedName>
    <definedName name="_RelFrequency4_Vacant" localSheetId="13">FREQUENCY(_HousePrices4_Vacant,HT!_Bins1)/#REF!*100</definedName>
    <definedName name="_RelFrequency4_Vacant" localSheetId="14">FREQUENCY(_HousePrices4_Vacant,SampleSize!_Bins1)/#REF!*100</definedName>
    <definedName name="_RelFrequency4_Vacant">FREQUENCY(_HousePrices4_Vacant,_Bins1)/#REF!*100</definedName>
    <definedName name="_RentalStatus4">#REF!</definedName>
    <definedName name="_Spacing1">(#REF!-#REF!)/(#REF!-2)</definedName>
    <definedName name="_Suburbs2">#REF!</definedName>
    <definedName name="_xlchart.v1.0" hidden="1">'Q1(a)'!$A$1</definedName>
    <definedName name="_xlchart.v1.1" hidden="1">'Q1(a)'!$A$2:$A$401</definedName>
    <definedName name="_xlchart.v1.2" hidden="1">'Q2(a)'!$B$1</definedName>
    <definedName name="_xlchart.v1.3" hidden="1">'Q2(a)'!$B$2:$B$401</definedName>
    <definedName name="_xlchart.v1.4" hidden="1">'Q3(a)'!$A$1</definedName>
    <definedName name="_xlchart.v1.5" hidden="1">'Q3(a)'!$A$2:$A$401</definedName>
    <definedName name="_xlchart.v1.6" hidden="1">'Q3(a)'!$A$1</definedName>
    <definedName name="_xlchart.v1.7" hidden="1">'Q3(a)'!$A$2:$A$401</definedName>
    <definedName name="_xlchart.v1.8" hidden="1">'Q3(a)'!$A$1</definedName>
    <definedName name="_xlchart.v1.9" hidden="1">'Q3(a)'!$A$2:$A$401</definedName>
    <definedName name="AA" localSheetId="12">#REF!</definedName>
    <definedName name="AA" localSheetId="13">#REF!</definedName>
    <definedName name="AA" localSheetId="14">#REF!</definedName>
    <definedName name="AA">#REF!</definedName>
    <definedName name="AAA" localSheetId="12">#REF!</definedName>
    <definedName name="AAA" localSheetId="13">#REF!</definedName>
    <definedName name="AAA" localSheetId="14">#REF!</definedName>
    <definedName name="AAA">#REF!</definedName>
    <definedName name="aaaaa" localSheetId="12">#REF!</definedName>
    <definedName name="aaaaa" localSheetId="13">#REF!</definedName>
    <definedName name="aaaaa" localSheetId="14">#REF!</definedName>
    <definedName name="aaaaa">#REF!</definedName>
    <definedName name="aaaaaa" localSheetId="12">#REF!</definedName>
    <definedName name="aaaaaa" localSheetId="13">#REF!</definedName>
    <definedName name="aaaaaa" localSheetId="14">#REF!</definedName>
    <definedName name="aaaaaa">#REF!</definedName>
    <definedName name="AAD" localSheetId="12">#REF!</definedName>
    <definedName name="AAD" localSheetId="13">#REF!</definedName>
    <definedName name="AAD" localSheetId="14">#REF!</definedName>
    <definedName name="AAD">#REF!</definedName>
    <definedName name="ab" localSheetId="12">#REF!</definedName>
    <definedName name="ab" localSheetId="13">#REF!</definedName>
    <definedName name="ab" localSheetId="14">#REF!</definedName>
    <definedName name="ab">#REF!</definedName>
    <definedName name="ABS" localSheetId="12">#REF!</definedName>
    <definedName name="ABS" localSheetId="13">#REF!</definedName>
    <definedName name="ABS" localSheetId="14">#REF!</definedName>
    <definedName name="ABS">#REF!</definedName>
    <definedName name="advb" localSheetId="12">#REF!</definedName>
    <definedName name="advb" localSheetId="13">#REF!</definedName>
    <definedName name="advb" localSheetId="14">#REF!</definedName>
    <definedName name="advb">#REF!</definedName>
    <definedName name="ae" localSheetId="12">#REF!</definedName>
    <definedName name="ae" localSheetId="13">#REF!</definedName>
    <definedName name="ae" localSheetId="14">#REF!</definedName>
    <definedName name="ae">#REF!</definedName>
    <definedName name="Age" localSheetId="12">#REF!</definedName>
    <definedName name="Age" localSheetId="13">#REF!</definedName>
    <definedName name="Age" localSheetId="14">#REF!</definedName>
    <definedName name="Age">#REF!</definedName>
    <definedName name="aq" localSheetId="12">#REF!</definedName>
    <definedName name="aq" localSheetId="13">#REF!</definedName>
    <definedName name="aq" localSheetId="14">#REF!</definedName>
    <definedName name="aq">#REF!</definedName>
    <definedName name="as" localSheetId="12">#REF!</definedName>
    <definedName name="as" localSheetId="13">#REF!</definedName>
    <definedName name="as" localSheetId="14">#REF!</definedName>
    <definedName name="as">#REF!</definedName>
    <definedName name="asd" localSheetId="12">#REF!</definedName>
    <definedName name="asd" localSheetId="13">#REF!</definedName>
    <definedName name="asd" localSheetId="14">#REF!</definedName>
    <definedName name="asd">#REF!</definedName>
    <definedName name="ase" localSheetId="12">#REF!</definedName>
    <definedName name="ase" localSheetId="13">#REF!</definedName>
    <definedName name="ase" localSheetId="14">#REF!</definedName>
    <definedName name="ase">#REF!</definedName>
    <definedName name="at" localSheetId="12">#REF!</definedName>
    <definedName name="at" localSheetId="13">#REF!</definedName>
    <definedName name="at" localSheetId="14">#REF!</definedName>
    <definedName name="at">#REF!</definedName>
    <definedName name="AtConrobar" localSheetId="12">#REF!</definedName>
    <definedName name="AtConrobar" localSheetId="13">#REF!</definedName>
    <definedName name="AtConrobar" localSheetId="14">#REF!</definedName>
    <definedName name="AtConrobar">#REF!</definedName>
    <definedName name="bjs" localSheetId="12">#REF!</definedName>
    <definedName name="bjs" localSheetId="13">#REF!</definedName>
    <definedName name="bjs" localSheetId="14">#REF!</definedName>
    <definedName name="bjs">#REF!</definedName>
    <definedName name="bnm" localSheetId="12">#REF!</definedName>
    <definedName name="bnm" localSheetId="13">#REF!</definedName>
    <definedName name="bnm" localSheetId="14">#REF!</definedName>
    <definedName name="bnm">#REF!</definedName>
    <definedName name="co" localSheetId="12">#REF!</definedName>
    <definedName name="co" localSheetId="13">#REF!</definedName>
    <definedName name="co" localSheetId="14">#REF!</definedName>
    <definedName name="co">#REF!</definedName>
    <definedName name="CorpCult" localSheetId="12">#REF!</definedName>
    <definedName name="CorpCult" localSheetId="13">#REF!</definedName>
    <definedName name="CorpCult" localSheetId="14">#REF!</definedName>
    <definedName name="CorpCult">#REF!</definedName>
    <definedName name="cvb" localSheetId="12">#REF!</definedName>
    <definedName name="cvb" localSheetId="13">#REF!</definedName>
    <definedName name="cvb" localSheetId="14">#REF!</definedName>
    <definedName name="cvb">#REF!</definedName>
    <definedName name="da" localSheetId="12">#REF!</definedName>
    <definedName name="da" localSheetId="13">#REF!</definedName>
    <definedName name="da" localSheetId="14">#REF!</definedName>
    <definedName name="da">#REF!</definedName>
    <definedName name="Dataset" localSheetId="12">#REF!</definedName>
    <definedName name="Dataset" localSheetId="13">#REF!</definedName>
    <definedName name="Dataset" localSheetId="14">#REF!</definedName>
    <definedName name="Dataset">#REF!</definedName>
    <definedName name="datasetH" localSheetId="12">#REF!</definedName>
    <definedName name="datasetH" localSheetId="13">#REF!</definedName>
    <definedName name="datasetH" localSheetId="14">#REF!</definedName>
    <definedName name="datasetH">#REF!</definedName>
    <definedName name="DaysAbsent" localSheetId="12">#REF!</definedName>
    <definedName name="DaysAbsent" localSheetId="13">#REF!</definedName>
    <definedName name="DaysAbsent" localSheetId="14">#REF!</definedName>
    <definedName name="DaysAbsent">#REF!</definedName>
    <definedName name="dddddd" localSheetId="12">#REF!</definedName>
    <definedName name="dddddd" localSheetId="13">#REF!</definedName>
    <definedName name="dddddd" localSheetId="14">#REF!</definedName>
    <definedName name="dddddd">#REF!</definedName>
    <definedName name="ddddq" localSheetId="12">#REF!</definedName>
    <definedName name="ddddq" localSheetId="13">#REF!</definedName>
    <definedName name="ddddq" localSheetId="14">#REF!</definedName>
    <definedName name="ddddq">#REF!</definedName>
    <definedName name="ddds" localSheetId="12">#REF!</definedName>
    <definedName name="ddds" localSheetId="13">#REF!</definedName>
    <definedName name="ddds" localSheetId="14">#REF!</definedName>
    <definedName name="ddds">#REF!</definedName>
    <definedName name="Department" localSheetId="12">#REF!</definedName>
    <definedName name="Department" localSheetId="13">#REF!</definedName>
    <definedName name="Department" localSheetId="14">#REF!</definedName>
    <definedName name="Department">#REF!</definedName>
    <definedName name="DepartmentNum" localSheetId="12">#REF!</definedName>
    <definedName name="DepartmentNum" localSheetId="13">#REF!</definedName>
    <definedName name="DepartmentNum" localSheetId="14">#REF!</definedName>
    <definedName name="DepartmentNum">#REF!</definedName>
    <definedName name="DEPT" localSheetId="12">#REF!</definedName>
    <definedName name="DEPT" localSheetId="13">#REF!</definedName>
    <definedName name="DEPT" localSheetId="14">#REF!</definedName>
    <definedName name="DEPT">#REF!</definedName>
    <definedName name="dfg" localSheetId="12">#REF!</definedName>
    <definedName name="dfg" localSheetId="13">#REF!</definedName>
    <definedName name="dfg" localSheetId="14">#REF!</definedName>
    <definedName name="dfg">#REF!</definedName>
    <definedName name="dfgs" localSheetId="12">#REF!</definedName>
    <definedName name="dfgs" localSheetId="13">#REF!</definedName>
    <definedName name="dfgs" localSheetId="14">#REF!</definedName>
    <definedName name="dfgs">#REF!</definedName>
    <definedName name="dh" localSheetId="12">#REF!</definedName>
    <definedName name="dh" localSheetId="13">#REF!</definedName>
    <definedName name="dh" localSheetId="14">#REF!</definedName>
    <definedName name="dh">#REF!</definedName>
    <definedName name="dhj" localSheetId="12">#REF!</definedName>
    <definedName name="dhj" localSheetId="13">#REF!</definedName>
    <definedName name="dhj" localSheetId="14">#REF!</definedName>
    <definedName name="dhj">#REF!</definedName>
    <definedName name="DPN" localSheetId="12">#REF!</definedName>
    <definedName name="DPN" localSheetId="13">#REF!</definedName>
    <definedName name="DPN" localSheetId="14">#REF!</definedName>
    <definedName name="DPN">#REF!</definedName>
    <definedName name="dvb" localSheetId="12">#REF!</definedName>
    <definedName name="dvb" localSheetId="13">#REF!</definedName>
    <definedName name="dvb" localSheetId="14">#REF!</definedName>
    <definedName name="dvb">#REF!</definedName>
    <definedName name="dvbb" localSheetId="12">#REF!</definedName>
    <definedName name="dvbb" localSheetId="13">#REF!</definedName>
    <definedName name="dvbb" localSheetId="14">#REF!</definedName>
    <definedName name="dvbb">#REF!</definedName>
    <definedName name="ED" localSheetId="12">#REF!</definedName>
    <definedName name="ED" localSheetId="13">#REF!</definedName>
    <definedName name="ED" localSheetId="14">#REF!</definedName>
    <definedName name="ED">#REF!</definedName>
    <definedName name="EducYrs" localSheetId="12">#REF!</definedName>
    <definedName name="EducYrs" localSheetId="13">#REF!</definedName>
    <definedName name="EducYrs" localSheetId="14">#REF!</definedName>
    <definedName name="EducYrs">#REF!</definedName>
    <definedName name="edy" localSheetId="12">#REF!</definedName>
    <definedName name="edy" localSheetId="13">#REF!</definedName>
    <definedName name="edy" localSheetId="14">#REF!</definedName>
    <definedName name="edy">#REF!</definedName>
    <definedName name="ef" localSheetId="12">#REF!</definedName>
    <definedName name="ef" localSheetId="13">#REF!</definedName>
    <definedName name="ef" localSheetId="14">#REF!</definedName>
    <definedName name="ef">#REF!</definedName>
    <definedName name="ery" localSheetId="12">#REF!</definedName>
    <definedName name="ery" localSheetId="13">#REF!</definedName>
    <definedName name="ery" localSheetId="14">#REF!</definedName>
    <definedName name="ery">#REF!</definedName>
    <definedName name="fdg" localSheetId="12">#REF!</definedName>
    <definedName name="fdg" localSheetId="13">#REF!</definedName>
    <definedName name="fdg" localSheetId="14">#REF!</definedName>
    <definedName name="fdg">#REF!</definedName>
    <definedName name="fds" localSheetId="12">#REF!</definedName>
    <definedName name="fds" localSheetId="13">#REF!</definedName>
    <definedName name="fds" localSheetId="14">#REF!</definedName>
    <definedName name="fds">#REF!</definedName>
    <definedName name="fdt" localSheetId="12">#REF!</definedName>
    <definedName name="fdt" localSheetId="13">#REF!</definedName>
    <definedName name="fdt" localSheetId="14">#REF!</definedName>
    <definedName name="fdt">#REF!</definedName>
    <definedName name="fff" localSheetId="12">#REF!</definedName>
    <definedName name="fff" localSheetId="13">#REF!</definedName>
    <definedName name="fff" localSheetId="14">#REF!</definedName>
    <definedName name="fff">#REF!</definedName>
    <definedName name="ffff" localSheetId="12">#REF!</definedName>
    <definedName name="ffff" localSheetId="13">#REF!</definedName>
    <definedName name="ffff" localSheetId="14">#REF!</definedName>
    <definedName name="ffff">#REF!</definedName>
    <definedName name="fffff" localSheetId="12">#REF!</definedName>
    <definedName name="fffff" localSheetId="13">#REF!</definedName>
    <definedName name="fffff" localSheetId="14">#REF!</definedName>
    <definedName name="fffff">#REF!</definedName>
    <definedName name="ffffg" localSheetId="12">#REF!</definedName>
    <definedName name="ffffg" localSheetId="13">#REF!</definedName>
    <definedName name="ffffg" localSheetId="14">#REF!</definedName>
    <definedName name="ffffg">#REF!</definedName>
    <definedName name="fg" localSheetId="12">#REF!</definedName>
    <definedName name="fg" localSheetId="13">#REF!</definedName>
    <definedName name="fg" localSheetId="14">#REF!</definedName>
    <definedName name="fg">#REF!</definedName>
    <definedName name="fgh" localSheetId="12">#REF!</definedName>
    <definedName name="fgh" localSheetId="13">#REF!</definedName>
    <definedName name="fgh" localSheetId="14">#REF!</definedName>
    <definedName name="fgh">#REF!</definedName>
    <definedName name="Gender" localSheetId="12">#REF!</definedName>
    <definedName name="Gender" localSheetId="13">#REF!</definedName>
    <definedName name="Gender" localSheetId="14">#REF!</definedName>
    <definedName name="Gender">#REF!</definedName>
    <definedName name="gggd" localSheetId="12">#REF!</definedName>
    <definedName name="gggd" localSheetId="13">#REF!</definedName>
    <definedName name="gggd" localSheetId="14">#REF!</definedName>
    <definedName name="gggd">#REF!</definedName>
    <definedName name="ggh" localSheetId="12">#REF!</definedName>
    <definedName name="ggh" localSheetId="13">#REF!</definedName>
    <definedName name="ggh" localSheetId="14">#REF!</definedName>
    <definedName name="ggh">#REF!</definedName>
    <definedName name="ghj" localSheetId="12">#REF!</definedName>
    <definedName name="ghj" localSheetId="13">#REF!</definedName>
    <definedName name="ghj" localSheetId="14">#REF!</definedName>
    <definedName name="ghj">#REF!</definedName>
    <definedName name="GN" localSheetId="12">#REF!</definedName>
    <definedName name="GN" localSheetId="13">#REF!</definedName>
    <definedName name="GN" localSheetId="14">#REF!</definedName>
    <definedName name="GN">#REF!</definedName>
    <definedName name="gnh" localSheetId="12">#REF!</definedName>
    <definedName name="gnh" localSheetId="13">#REF!</definedName>
    <definedName name="gnh" localSheetId="14">#REF!</definedName>
    <definedName name="gnh">#REF!</definedName>
    <definedName name="HBN" localSheetId="12">#REF!</definedName>
    <definedName name="HBN" localSheetId="13">#REF!</definedName>
    <definedName name="HBN" localSheetId="14">#REF!</definedName>
    <definedName name="HBN">#REF!</definedName>
    <definedName name="hhh" localSheetId="12">#REF!</definedName>
    <definedName name="hhh" localSheetId="13">#REF!</definedName>
    <definedName name="hhh" localSheetId="14">#REF!</definedName>
    <definedName name="hhh">#REF!</definedName>
    <definedName name="HomeBrand">#REF!</definedName>
    <definedName name="jbdf" localSheetId="12">#REF!</definedName>
    <definedName name="jbdf" localSheetId="13">#REF!</definedName>
    <definedName name="jbdf" localSheetId="14">#REF!</definedName>
    <definedName name="jbdf">#REF!</definedName>
    <definedName name="JBS" localSheetId="12">#REF!</definedName>
    <definedName name="JBS" localSheetId="13">#REF!</definedName>
    <definedName name="JBS" localSheetId="14">#REF!</definedName>
    <definedName name="JBS">#REF!</definedName>
    <definedName name="JJ" localSheetId="12">#REF!</definedName>
    <definedName name="JJ" localSheetId="13">#REF!</definedName>
    <definedName name="JJ" localSheetId="14">#REF!</definedName>
    <definedName name="JJ">#REF!</definedName>
    <definedName name="JJJ" localSheetId="12">#REF!</definedName>
    <definedName name="JJJ" localSheetId="13">#REF!</definedName>
    <definedName name="JJJ" localSheetId="14">#REF!</definedName>
    <definedName name="JJJ">#REF!</definedName>
    <definedName name="jjy" localSheetId="12">#REF!</definedName>
    <definedName name="jjy" localSheetId="13">#REF!</definedName>
    <definedName name="jjy" localSheetId="14">#REF!</definedName>
    <definedName name="jjy">#REF!</definedName>
    <definedName name="jls" localSheetId="12">#REF!</definedName>
    <definedName name="jls" localSheetId="13">#REF!</definedName>
    <definedName name="jls" localSheetId="14">#REF!</definedName>
    <definedName name="jls">#REF!</definedName>
    <definedName name="jnur" localSheetId="12">#REF!</definedName>
    <definedName name="jnur" localSheetId="13">#REF!</definedName>
    <definedName name="jnur" localSheetId="14">#REF!</definedName>
    <definedName name="jnur">#REF!</definedName>
    <definedName name="JobSat" localSheetId="12">#REF!</definedName>
    <definedName name="JobSat" localSheetId="13">#REF!</definedName>
    <definedName name="JobSat" localSheetId="14">#REF!</definedName>
    <definedName name="JobSat">#REF!</definedName>
    <definedName name="JobSecure" localSheetId="12">#REF!</definedName>
    <definedName name="JobSecure" localSheetId="13">#REF!</definedName>
    <definedName name="JobSecure" localSheetId="14">#REF!</definedName>
    <definedName name="JobSecure">#REF!</definedName>
    <definedName name="JobSecureNum" localSheetId="12">#REF!</definedName>
    <definedName name="JobSecureNum" localSheetId="13">#REF!</definedName>
    <definedName name="JobSecureNum" localSheetId="14">#REF!</definedName>
    <definedName name="JobSecureNum">#REF!</definedName>
    <definedName name="JS" localSheetId="12">#REF!</definedName>
    <definedName name="JS" localSheetId="13">#REF!</definedName>
    <definedName name="JS" localSheetId="14">#REF!</definedName>
    <definedName name="JS">#REF!</definedName>
    <definedName name="jst" localSheetId="12">#REF!</definedName>
    <definedName name="jst" localSheetId="13">#REF!</definedName>
    <definedName name="jst" localSheetId="14">#REF!</definedName>
    <definedName name="jst">#REF!</definedName>
    <definedName name="juyt" localSheetId="12">#REF!</definedName>
    <definedName name="juyt" localSheetId="13">#REF!</definedName>
    <definedName name="juyt" localSheetId="14">#REF!</definedName>
    <definedName name="juyt">#REF!</definedName>
    <definedName name="khj" localSheetId="12">#REF!</definedName>
    <definedName name="khj" localSheetId="13">#REF!</definedName>
    <definedName name="khj" localSheetId="14">#REF!</definedName>
    <definedName name="khj">#REF!</definedName>
    <definedName name="khl" localSheetId="12">#REF!</definedName>
    <definedName name="khl" localSheetId="13">#REF!</definedName>
    <definedName name="khl" localSheetId="14">#REF!</definedName>
    <definedName name="khl">#REF!</definedName>
    <definedName name="kilometres" localSheetId="12">#REF!</definedName>
    <definedName name="kilometres" localSheetId="13">#REF!</definedName>
    <definedName name="kilometres" localSheetId="14">#REF!</definedName>
    <definedName name="kilometres">#REF!</definedName>
    <definedName name="KK" localSheetId="12">#REF!</definedName>
    <definedName name="KK" localSheetId="13">#REF!</definedName>
    <definedName name="KK" localSheetId="14">#REF!</definedName>
    <definedName name="KK">#REF!</definedName>
    <definedName name="KKK" localSheetId="12">#REF!</definedName>
    <definedName name="KKK" localSheetId="13">#REF!</definedName>
    <definedName name="KKK" localSheetId="14">#REF!</definedName>
    <definedName name="KKK">#REF!</definedName>
    <definedName name="kkkky" localSheetId="12">#REF!</definedName>
    <definedName name="kkkky" localSheetId="13">#REF!</definedName>
    <definedName name="kkkky" localSheetId="14">#REF!</definedName>
    <definedName name="kkkky">#REF!</definedName>
    <definedName name="kkkt" localSheetId="12">#REF!</definedName>
    <definedName name="kkkt" localSheetId="13">#REF!</definedName>
    <definedName name="kkkt" localSheetId="14">#REF!</definedName>
    <definedName name="kkkt">#REF!</definedName>
    <definedName name="kmg" localSheetId="12">#REF!</definedName>
    <definedName name="kmg" localSheetId="13">#REF!</definedName>
    <definedName name="kmg" localSheetId="14">#REF!</definedName>
    <definedName name="kmg">#REF!</definedName>
    <definedName name="KML" localSheetId="12">#REF!</definedName>
    <definedName name="KML" localSheetId="13">#REF!</definedName>
    <definedName name="KML" localSheetId="14">#REF!</definedName>
    <definedName name="KML">#REF!</definedName>
    <definedName name="npd" localSheetId="12">#REF!</definedName>
    <definedName name="npd" localSheetId="13">#REF!</definedName>
    <definedName name="npd" localSheetId="14">#REF!</definedName>
    <definedName name="npd">#REF!</definedName>
    <definedName name="olm" localSheetId="12">#REF!</definedName>
    <definedName name="olm" localSheetId="13">#REF!</definedName>
    <definedName name="olm" localSheetId="14">#REF!</definedName>
    <definedName name="olm">#REF!</definedName>
    <definedName name="pde" localSheetId="12">#REF!</definedName>
    <definedName name="pde" localSheetId="13">#REF!</definedName>
    <definedName name="pde" localSheetId="14">#REF!</definedName>
    <definedName name="pde">#REF!</definedName>
    <definedName name="pet" localSheetId="12">#REF!</definedName>
    <definedName name="pet" localSheetId="13">#REF!</definedName>
    <definedName name="pet" localSheetId="14">#REF!</definedName>
    <definedName name="pet">#REF!</definedName>
    <definedName name="pfgt" localSheetId="12">#REF!</definedName>
    <definedName name="pfgt" localSheetId="13">#REF!</definedName>
    <definedName name="pfgt" localSheetId="14">#REF!</definedName>
    <definedName name="pfgt">#REF!</definedName>
    <definedName name="pol" localSheetId="12">#REF!</definedName>
    <definedName name="pol" localSheetId="13">#REF!</definedName>
    <definedName name="pol" localSheetId="14">#REF!</definedName>
    <definedName name="pol">#REF!</definedName>
    <definedName name="Position" localSheetId="12">#REF!</definedName>
    <definedName name="Position" localSheetId="13">#REF!</definedName>
    <definedName name="Position" localSheetId="14">#REF!</definedName>
    <definedName name="Position">#REF!</definedName>
    <definedName name="PP" localSheetId="12">#REF!</definedName>
    <definedName name="PP" localSheetId="13">#REF!</definedName>
    <definedName name="PP" localSheetId="14">#REF!</definedName>
    <definedName name="PP">#REF!</definedName>
    <definedName name="ppppp" localSheetId="12">#REF!</definedName>
    <definedName name="ppppp" localSheetId="13">#REF!</definedName>
    <definedName name="ppppp" localSheetId="14">#REF!</definedName>
    <definedName name="ppppp">#REF!</definedName>
    <definedName name="PROD" localSheetId="12">#REF!</definedName>
    <definedName name="PROD" localSheetId="13">#REF!</definedName>
    <definedName name="PROD" localSheetId="14">#REF!</definedName>
    <definedName name="PROD">#REF!</definedName>
    <definedName name="Productivity" localSheetId="12">#REF!</definedName>
    <definedName name="Productivity" localSheetId="13">#REF!</definedName>
    <definedName name="Productivity" localSheetId="14">#REF!</definedName>
    <definedName name="Productivity">#REF!</definedName>
    <definedName name="qqqq" localSheetId="12">#REF!</definedName>
    <definedName name="qqqq" localSheetId="13">#REF!</definedName>
    <definedName name="qqqq" localSheetId="14">#REF!</definedName>
    <definedName name="qqqq">#REF!</definedName>
    <definedName name="qw" localSheetId="12">#REF!</definedName>
    <definedName name="qw" localSheetId="13">#REF!</definedName>
    <definedName name="qw" localSheetId="14">#REF!</definedName>
    <definedName name="qw">#REF!</definedName>
    <definedName name="RentalStatus">#REF!</definedName>
    <definedName name="sda" localSheetId="12">#REF!</definedName>
    <definedName name="sda" localSheetId="13">#REF!</definedName>
    <definedName name="sda" localSheetId="14">#REF!</definedName>
    <definedName name="sda">#REF!</definedName>
    <definedName name="UOvTime" localSheetId="12">#REF!</definedName>
    <definedName name="UOvTime" localSheetId="13">#REF!</definedName>
    <definedName name="UOvTime" localSheetId="14">#REF!</definedName>
    <definedName name="UOvTime">#REF!</definedName>
    <definedName name="upo" localSheetId="12">#REF!</definedName>
    <definedName name="upo" localSheetId="13">#REF!</definedName>
    <definedName name="upo" localSheetId="14">#REF!</definedName>
    <definedName name="upo">#REF!</definedName>
    <definedName name="utyi" localSheetId="12">#REF!</definedName>
    <definedName name="utyi" localSheetId="13">#REF!</definedName>
    <definedName name="utyi" localSheetId="14">#REF!</definedName>
    <definedName name="utyi">#REF!</definedName>
    <definedName name="UU" localSheetId="12">#REF!</definedName>
    <definedName name="UU" localSheetId="13">#REF!</definedName>
    <definedName name="UU" localSheetId="14">#REF!</definedName>
    <definedName name="UU">#REF!</definedName>
    <definedName name="UUU" localSheetId="12">#REF!</definedName>
    <definedName name="UUU" localSheetId="13">#REF!</definedName>
    <definedName name="UUU" localSheetId="14">#REF!</definedName>
    <definedName name="UUU">#REF!</definedName>
    <definedName name="UUUUUU" localSheetId="12">#REF!</definedName>
    <definedName name="UUUUUU" localSheetId="13">#REF!</definedName>
    <definedName name="UUUUUU" localSheetId="14">#REF!</definedName>
    <definedName name="UUUUUU">#REF!</definedName>
    <definedName name="uyt" localSheetId="12">#REF!</definedName>
    <definedName name="uyt" localSheetId="13">#REF!</definedName>
    <definedName name="uyt" localSheetId="14">#REF!</definedName>
    <definedName name="uyt">#REF!</definedName>
    <definedName name="WK" localSheetId="12">#REF!</definedName>
    <definedName name="WK" localSheetId="13">#REF!</definedName>
    <definedName name="WK" localSheetId="14">#REF!</definedName>
    <definedName name="WK">#REF!</definedName>
    <definedName name="WkSalary" localSheetId="12">#REF!</definedName>
    <definedName name="WkSalary" localSheetId="13">#REF!</definedName>
    <definedName name="WkSalary" localSheetId="14">#REF!</definedName>
    <definedName name="WkSalary">#REF!</definedName>
    <definedName name="wre" localSheetId="12">#REF!</definedName>
    <definedName name="wre" localSheetId="13">#REF!</definedName>
    <definedName name="wre" localSheetId="14">#REF!</definedName>
    <definedName name="wre">#REF!</definedName>
    <definedName name="wwww" localSheetId="12">#REF!</definedName>
    <definedName name="wwww" localSheetId="13">#REF!</definedName>
    <definedName name="wwww" localSheetId="14">#REF!</definedName>
    <definedName name="wwww">#REF!</definedName>
  </definedNames>
  <calcPr calcId="191029"/>
  <pivotCaches>
    <pivotCache cacheId="34" r:id="rId17"/>
    <pivotCache cacheId="69" r:id="rId18"/>
    <pivotCache cacheId="47" r:id="rId19"/>
    <pivotCache cacheId="60" r:id="rId20"/>
    <pivotCache cacheId="73" r:id="rId2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5" i="9" l="1"/>
  <c r="H78" i="12"/>
  <c r="H77" i="12"/>
  <c r="J56" i="12"/>
  <c r="G56" i="12"/>
  <c r="H34" i="12"/>
  <c r="J15" i="12"/>
  <c r="J16" i="12"/>
  <c r="J19" i="12"/>
  <c r="F44" i="11"/>
  <c r="F43" i="11"/>
  <c r="D38" i="9"/>
  <c r="J57" i="12"/>
  <c r="G57" i="12"/>
  <c r="H35" i="12"/>
  <c r="G51" i="12"/>
  <c r="G43" i="12"/>
  <c r="G16" i="12"/>
  <c r="H29" i="12"/>
  <c r="J10" i="12"/>
  <c r="G10" i="12"/>
  <c r="G58" i="11"/>
  <c r="F60" i="11"/>
  <c r="F59" i="11"/>
  <c r="F58" i="11"/>
  <c r="F61" i="11" s="1"/>
  <c r="D48" i="10"/>
  <c r="C2" i="5"/>
  <c r="E27" i="9"/>
  <c r="E26" i="9"/>
  <c r="D28" i="8"/>
  <c r="D27" i="8"/>
  <c r="D26" i="8"/>
  <c r="I10" i="7"/>
  <c r="I9" i="7"/>
  <c r="I8" i="7"/>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F25" i="3"/>
  <c r="F24" i="3"/>
  <c r="F12" i="3"/>
  <c r="F19" i="3"/>
  <c r="F18" i="3"/>
  <c r="F17" i="3"/>
  <c r="F16" i="3"/>
  <c r="F14" i="3"/>
  <c r="F13" i="3"/>
  <c r="F11" i="3"/>
  <c r="F10" i="3"/>
  <c r="F9" i="3"/>
  <c r="F7" i="3"/>
  <c r="D17" i="11"/>
  <c r="D10" i="11"/>
  <c r="D16" i="11" s="1"/>
  <c r="D18" i="11" s="1"/>
  <c r="D19" i="11" s="1"/>
  <c r="F45" i="11"/>
  <c r="F46" i="11" s="1"/>
  <c r="C49" i="11" s="1"/>
  <c r="F37" i="11"/>
  <c r="F40" i="11"/>
  <c r="C38" i="11"/>
  <c r="C37" i="11"/>
  <c r="F33" i="11"/>
  <c r="D46" i="9"/>
  <c r="D43" i="9"/>
  <c r="G6" i="4"/>
  <c r="D37" i="9"/>
  <c r="G16" i="8"/>
  <c r="G21" i="8" s="1"/>
  <c r="G22" i="8" s="1"/>
  <c r="G15" i="8"/>
  <c r="G14" i="8"/>
  <c r="G20" i="8" s="1"/>
  <c r="L48" i="7"/>
  <c r="L49" i="7"/>
  <c r="L50" i="7"/>
  <c r="L47"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2" i="7"/>
  <c r="K41" i="7" s="1"/>
  <c r="G44" i="10"/>
  <c r="E12" i="10"/>
  <c r="G41" i="10"/>
  <c r="G40" i="10"/>
  <c r="G39" i="10"/>
  <c r="G35" i="10"/>
  <c r="G36" i="10" s="1"/>
  <c r="E19" i="10"/>
  <c r="E18" i="10"/>
  <c r="E13" i="10"/>
  <c r="E14" i="10" s="1"/>
  <c r="G31" i="10"/>
  <c r="D37" i="10"/>
  <c r="D22" i="11" l="1"/>
  <c r="D23" i="11"/>
  <c r="D50" i="9"/>
  <c r="J39" i="7"/>
  <c r="K39" i="7"/>
  <c r="I41" i="7"/>
  <c r="F15" i="3"/>
  <c r="F62" i="3" s="1"/>
  <c r="F26" i="3"/>
  <c r="F8" i="3"/>
  <c r="D49" i="9"/>
  <c r="G23" i="8"/>
  <c r="G27" i="8" s="1"/>
  <c r="G26" i="8"/>
  <c r="K40" i="7"/>
  <c r="J38" i="7"/>
  <c r="J40" i="7"/>
  <c r="J41" i="7"/>
  <c r="L41" i="7" s="1"/>
  <c r="I39" i="7"/>
  <c r="K38" i="7"/>
  <c r="I38" i="7"/>
  <c r="I40" i="7"/>
  <c r="L40" i="7" s="1"/>
  <c r="D36" i="10"/>
  <c r="L38" i="7" l="1"/>
  <c r="J42" i="7"/>
  <c r="J58" i="7"/>
  <c r="K59" i="7"/>
  <c r="I59" i="7"/>
  <c r="K42" i="7"/>
  <c r="I42" i="7"/>
  <c r="L39" i="7"/>
  <c r="I57" i="7" s="1"/>
  <c r="J59" i="7"/>
  <c r="K56" i="7"/>
  <c r="J56" i="7"/>
  <c r="I56" i="7"/>
  <c r="I58" i="7"/>
  <c r="K58" i="7"/>
  <c r="E15" i="10"/>
  <c r="G43" i="10"/>
  <c r="G45" i="10" s="1"/>
  <c r="E23" i="6"/>
  <c r="E22" i="6"/>
  <c r="F31" i="6"/>
  <c r="F32" i="6"/>
  <c r="F30" i="6"/>
  <c r="E32" i="6"/>
  <c r="E31" i="6"/>
  <c r="E30" i="6"/>
  <c r="G25" i="6"/>
  <c r="G24" i="6"/>
  <c r="G23" i="6"/>
  <c r="G22" i="6"/>
  <c r="F25" i="6"/>
  <c r="F24" i="6"/>
  <c r="F23" i="6"/>
  <c r="F22" i="6"/>
  <c r="E25" i="6"/>
  <c r="E24" i="6"/>
  <c r="L42" i="7" l="1"/>
  <c r="K57" i="7"/>
  <c r="J57" i="7"/>
  <c r="L57" i="7" s="1"/>
  <c r="L59" i="7"/>
  <c r="L56" i="7"/>
  <c r="L58" i="7"/>
  <c r="G30" i="6"/>
  <c r="G31" i="6"/>
  <c r="G32" i="6"/>
  <c r="H40" i="5" l="1"/>
  <c r="H39" i="5"/>
  <c r="G74" i="3"/>
  <c r="G73" i="3"/>
  <c r="G72" i="3"/>
  <c r="G71" i="3"/>
  <c r="G70" i="3"/>
  <c r="G69" i="3"/>
  <c r="G68" i="3"/>
  <c r="F64" i="3" l="1"/>
  <c r="G9" i="4" l="1"/>
  <c r="H9" i="4" s="1"/>
  <c r="G8" i="4"/>
  <c r="H8" i="4" s="1"/>
  <c r="G7" i="4"/>
  <c r="H7" i="4" s="1"/>
  <c r="H6" i="4"/>
  <c r="D6" i="14"/>
  <c r="B13" i="14" s="1"/>
  <c r="E8" i="14"/>
  <c r="K8" i="14"/>
  <c r="Q8" i="14"/>
  <c r="N12" i="14"/>
  <c r="N13" i="14"/>
  <c r="N24" i="14"/>
  <c r="B25" i="14"/>
  <c r="H25" i="14"/>
  <c r="B14" i="14" l="1"/>
</calcChain>
</file>

<file path=xl/sharedStrings.xml><?xml version="1.0" encoding="utf-8"?>
<sst xmlns="http://schemas.openxmlformats.org/spreadsheetml/2006/main" count="7437" uniqueCount="705">
  <si>
    <t>Cust_ID</t>
  </si>
  <si>
    <t>Age</t>
  </si>
  <si>
    <t>Gender</t>
  </si>
  <si>
    <t>State</t>
  </si>
  <si>
    <t>Marital</t>
  </si>
  <si>
    <t>Edu_Level</t>
  </si>
  <si>
    <t>Num_Trans</t>
  </si>
  <si>
    <t>Loyalty</t>
  </si>
  <si>
    <t>Online_Freq</t>
  </si>
  <si>
    <t>Pref_Cat</t>
  </si>
  <si>
    <t>Disc_Usage</t>
  </si>
  <si>
    <t>Sat_Score</t>
  </si>
  <si>
    <t>Return_Rate</t>
  </si>
  <si>
    <t>CUST0001</t>
  </si>
  <si>
    <t>CUST0002</t>
  </si>
  <si>
    <t>CUST0003</t>
  </si>
  <si>
    <t>CUST0004</t>
  </si>
  <si>
    <t>CUST0005</t>
  </si>
  <si>
    <t>CUST0006</t>
  </si>
  <si>
    <t>CUST0007</t>
  </si>
  <si>
    <t>CUST0008</t>
  </si>
  <si>
    <t>CUST0009</t>
  </si>
  <si>
    <t>CUST0010</t>
  </si>
  <si>
    <t>CUST0011</t>
  </si>
  <si>
    <t>CUST0012</t>
  </si>
  <si>
    <t>CUST0013</t>
  </si>
  <si>
    <t>CUST0014</t>
  </si>
  <si>
    <t>CUST0015</t>
  </si>
  <si>
    <t>CUST0016</t>
  </si>
  <si>
    <t>CUST0017</t>
  </si>
  <si>
    <t>CUST0018</t>
  </si>
  <si>
    <t>CUST0019</t>
  </si>
  <si>
    <t>CUST0020</t>
  </si>
  <si>
    <t>CUST0021</t>
  </si>
  <si>
    <t>CUST0022</t>
  </si>
  <si>
    <t>CUST0023</t>
  </si>
  <si>
    <t>CUST0024</t>
  </si>
  <si>
    <t>CUST0025</t>
  </si>
  <si>
    <t>CUST0026</t>
  </si>
  <si>
    <t>CUST0027</t>
  </si>
  <si>
    <t>CUST0028</t>
  </si>
  <si>
    <t>CUST0029</t>
  </si>
  <si>
    <t>CUST0030</t>
  </si>
  <si>
    <t>CUST0031</t>
  </si>
  <si>
    <t>CUST0032</t>
  </si>
  <si>
    <t>CUST0033</t>
  </si>
  <si>
    <t>CUST0034</t>
  </si>
  <si>
    <t>CUST0035</t>
  </si>
  <si>
    <t>CUST0036</t>
  </si>
  <si>
    <t>CUST0037</t>
  </si>
  <si>
    <t>CUST0038</t>
  </si>
  <si>
    <t>CUST0039</t>
  </si>
  <si>
    <t>CUST0040</t>
  </si>
  <si>
    <t>CUST0041</t>
  </si>
  <si>
    <t>CUST0042</t>
  </si>
  <si>
    <t>CUST0043</t>
  </si>
  <si>
    <t>CUST0044</t>
  </si>
  <si>
    <t>CUST0045</t>
  </si>
  <si>
    <t>CUST0046</t>
  </si>
  <si>
    <t>CUST0047</t>
  </si>
  <si>
    <t>CUST0048</t>
  </si>
  <si>
    <t>CUST0049</t>
  </si>
  <si>
    <t>CUST0050</t>
  </si>
  <si>
    <t>CUST0051</t>
  </si>
  <si>
    <t>CUST0052</t>
  </si>
  <si>
    <t>CUST0053</t>
  </si>
  <si>
    <t>CUST0054</t>
  </si>
  <si>
    <t>CUST0055</t>
  </si>
  <si>
    <t>CUST0056</t>
  </si>
  <si>
    <t>CUST0057</t>
  </si>
  <si>
    <t>CUST0058</t>
  </si>
  <si>
    <t>CUST0059</t>
  </si>
  <si>
    <t>CUST0060</t>
  </si>
  <si>
    <t>CUST0061</t>
  </si>
  <si>
    <t>CUST0062</t>
  </si>
  <si>
    <t>CUST0063</t>
  </si>
  <si>
    <t>CUST0064</t>
  </si>
  <si>
    <t>CUST0065</t>
  </si>
  <si>
    <t>CUST0066</t>
  </si>
  <si>
    <t>CUST0067</t>
  </si>
  <si>
    <t>CUST0068</t>
  </si>
  <si>
    <t>CUST0069</t>
  </si>
  <si>
    <t>CUST0070</t>
  </si>
  <si>
    <t>CUST0071</t>
  </si>
  <si>
    <t>CUST0072</t>
  </si>
  <si>
    <t>CUST0073</t>
  </si>
  <si>
    <t>CUST0074</t>
  </si>
  <si>
    <t>CUST0075</t>
  </si>
  <si>
    <t>CUST0076</t>
  </si>
  <si>
    <t>CUST0077</t>
  </si>
  <si>
    <t>CUST0078</t>
  </si>
  <si>
    <t>CUST0079</t>
  </si>
  <si>
    <t>CUST0080</t>
  </si>
  <si>
    <t>CUST0081</t>
  </si>
  <si>
    <t>CUST0082</t>
  </si>
  <si>
    <t>CUST0083</t>
  </si>
  <si>
    <t>CUST0084</t>
  </si>
  <si>
    <t>CUST0085</t>
  </si>
  <si>
    <t>CUST0086</t>
  </si>
  <si>
    <t>CUST0087</t>
  </si>
  <si>
    <t>CUST0088</t>
  </si>
  <si>
    <t>CUST0089</t>
  </si>
  <si>
    <t>CUST0090</t>
  </si>
  <si>
    <t>CUST0091</t>
  </si>
  <si>
    <t>CUST0092</t>
  </si>
  <si>
    <t>CUST0093</t>
  </si>
  <si>
    <t>CUST0094</t>
  </si>
  <si>
    <t>CUST0095</t>
  </si>
  <si>
    <t>CUST0096</t>
  </si>
  <si>
    <t>CUST0097</t>
  </si>
  <si>
    <t>CUST0098</t>
  </si>
  <si>
    <t>CUST0099</t>
  </si>
  <si>
    <t>CUST0100</t>
  </si>
  <si>
    <t>CUST0101</t>
  </si>
  <si>
    <t>CUST0102</t>
  </si>
  <si>
    <t>CUST0103</t>
  </si>
  <si>
    <t>CUST0104</t>
  </si>
  <si>
    <t>CUST0105</t>
  </si>
  <si>
    <t>CUST0106</t>
  </si>
  <si>
    <t>CUST0107</t>
  </si>
  <si>
    <t>CUST0108</t>
  </si>
  <si>
    <t>CUST0109</t>
  </si>
  <si>
    <t>CUST0110</t>
  </si>
  <si>
    <t>CUST0111</t>
  </si>
  <si>
    <t>CUST0112</t>
  </si>
  <si>
    <t>CUST0113</t>
  </si>
  <si>
    <t>CUST0114</t>
  </si>
  <si>
    <t>CUST0115</t>
  </si>
  <si>
    <t>CUST0116</t>
  </si>
  <si>
    <t>CUST0117</t>
  </si>
  <si>
    <t>CUST0118</t>
  </si>
  <si>
    <t>CUST0119</t>
  </si>
  <si>
    <t>CUST0120</t>
  </si>
  <si>
    <t>CUST0121</t>
  </si>
  <si>
    <t>CUST0122</t>
  </si>
  <si>
    <t>CUST0123</t>
  </si>
  <si>
    <t>CUST0124</t>
  </si>
  <si>
    <t>CUST0125</t>
  </si>
  <si>
    <t>CUST0126</t>
  </si>
  <si>
    <t>CUST0127</t>
  </si>
  <si>
    <t>CUST0128</t>
  </si>
  <si>
    <t>CUST0129</t>
  </si>
  <si>
    <t>CUST0130</t>
  </si>
  <si>
    <t>CUST0131</t>
  </si>
  <si>
    <t>CUST0132</t>
  </si>
  <si>
    <t>CUST0133</t>
  </si>
  <si>
    <t>CUST0134</t>
  </si>
  <si>
    <t>CUST0135</t>
  </si>
  <si>
    <t>CUST0136</t>
  </si>
  <si>
    <t>CUST0137</t>
  </si>
  <si>
    <t>CUST0138</t>
  </si>
  <si>
    <t>CUST0139</t>
  </si>
  <si>
    <t>CUST0140</t>
  </si>
  <si>
    <t>CUST0141</t>
  </si>
  <si>
    <t>CUST0142</t>
  </si>
  <si>
    <t>CUST0143</t>
  </si>
  <si>
    <t>CUST0144</t>
  </si>
  <si>
    <t>CUST0145</t>
  </si>
  <si>
    <t>CUST0146</t>
  </si>
  <si>
    <t>CUST0147</t>
  </si>
  <si>
    <t>CUST0148</t>
  </si>
  <si>
    <t>CUST0149</t>
  </si>
  <si>
    <t>CUST0150</t>
  </si>
  <si>
    <t>CUST0151</t>
  </si>
  <si>
    <t>CUST0152</t>
  </si>
  <si>
    <t>CUST0153</t>
  </si>
  <si>
    <t>CUST0154</t>
  </si>
  <si>
    <t>CUST0155</t>
  </si>
  <si>
    <t>CUST0156</t>
  </si>
  <si>
    <t>CUST0157</t>
  </si>
  <si>
    <t>CUST0158</t>
  </si>
  <si>
    <t>CUST0159</t>
  </si>
  <si>
    <t>CUST0160</t>
  </si>
  <si>
    <t>CUST0161</t>
  </si>
  <si>
    <t>CUST0162</t>
  </si>
  <si>
    <t>CUST0163</t>
  </si>
  <si>
    <t>CUST0164</t>
  </si>
  <si>
    <t>CUST0165</t>
  </si>
  <si>
    <t>CUST0166</t>
  </si>
  <si>
    <t>CUST0167</t>
  </si>
  <si>
    <t>CUST0168</t>
  </si>
  <si>
    <t>CUST0169</t>
  </si>
  <si>
    <t>CUST0170</t>
  </si>
  <si>
    <t>CUST0171</t>
  </si>
  <si>
    <t>CUST0172</t>
  </si>
  <si>
    <t>CUST0173</t>
  </si>
  <si>
    <t>CUST0174</t>
  </si>
  <si>
    <t>CUST0175</t>
  </si>
  <si>
    <t>CUST0176</t>
  </si>
  <si>
    <t>CUST0177</t>
  </si>
  <si>
    <t>CUST0178</t>
  </si>
  <si>
    <t>CUST0179</t>
  </si>
  <si>
    <t>CUST0180</t>
  </si>
  <si>
    <t>CUST0181</t>
  </si>
  <si>
    <t>CUST0182</t>
  </si>
  <si>
    <t>CUST0183</t>
  </si>
  <si>
    <t>CUST0184</t>
  </si>
  <si>
    <t>CUST0185</t>
  </si>
  <si>
    <t>CUST0186</t>
  </si>
  <si>
    <t>CUST0187</t>
  </si>
  <si>
    <t>CUST0188</t>
  </si>
  <si>
    <t>CUST0189</t>
  </si>
  <si>
    <t>CUST0190</t>
  </si>
  <si>
    <t>CUST0191</t>
  </si>
  <si>
    <t>CUST0192</t>
  </si>
  <si>
    <t>CUST0193</t>
  </si>
  <si>
    <t>CUST0194</t>
  </si>
  <si>
    <t>CUST0195</t>
  </si>
  <si>
    <t>CUST0196</t>
  </si>
  <si>
    <t>CUST0197</t>
  </si>
  <si>
    <t>CUST0198</t>
  </si>
  <si>
    <t>CUST0199</t>
  </si>
  <si>
    <t>CUST0200</t>
  </si>
  <si>
    <t>CUST0201</t>
  </si>
  <si>
    <t>CUST0202</t>
  </si>
  <si>
    <t>CUST0203</t>
  </si>
  <si>
    <t>CUST0204</t>
  </si>
  <si>
    <t>CUST0205</t>
  </si>
  <si>
    <t>CUST0206</t>
  </si>
  <si>
    <t>CUST0207</t>
  </si>
  <si>
    <t>CUST0208</t>
  </si>
  <si>
    <t>CUST0209</t>
  </si>
  <si>
    <t>CUST0210</t>
  </si>
  <si>
    <t>CUST0211</t>
  </si>
  <si>
    <t>CUST0212</t>
  </si>
  <si>
    <t>CUST0213</t>
  </si>
  <si>
    <t>CUST0214</t>
  </si>
  <si>
    <t>CUST0215</t>
  </si>
  <si>
    <t>CUST0216</t>
  </si>
  <si>
    <t>CUST0217</t>
  </si>
  <si>
    <t>CUST0218</t>
  </si>
  <si>
    <t>CUST0219</t>
  </si>
  <si>
    <t>CUST0220</t>
  </si>
  <si>
    <t>CUST0221</t>
  </si>
  <si>
    <t>CUST0222</t>
  </si>
  <si>
    <t>CUST0223</t>
  </si>
  <si>
    <t>CUST0224</t>
  </si>
  <si>
    <t>CUST0225</t>
  </si>
  <si>
    <t>CUST0226</t>
  </si>
  <si>
    <t>CUST0227</t>
  </si>
  <si>
    <t>CUST0228</t>
  </si>
  <si>
    <t>CUST0229</t>
  </si>
  <si>
    <t>CUST0230</t>
  </si>
  <si>
    <t>CUST0231</t>
  </si>
  <si>
    <t>CUST0232</t>
  </si>
  <si>
    <t>CUST0233</t>
  </si>
  <si>
    <t>CUST0234</t>
  </si>
  <si>
    <t>CUST0235</t>
  </si>
  <si>
    <t>CUST0236</t>
  </si>
  <si>
    <t>CUST0237</t>
  </si>
  <si>
    <t>CUST0238</t>
  </si>
  <si>
    <t>CUST0239</t>
  </si>
  <si>
    <t>CUST0240</t>
  </si>
  <si>
    <t>CUST0241</t>
  </si>
  <si>
    <t>CUST0242</t>
  </si>
  <si>
    <t>CUST0243</t>
  </si>
  <si>
    <t>CUST0244</t>
  </si>
  <si>
    <t>CUST0245</t>
  </si>
  <si>
    <t>CUST0246</t>
  </si>
  <si>
    <t>CUST0247</t>
  </si>
  <si>
    <t>CUST0248</t>
  </si>
  <si>
    <t>CUST0249</t>
  </si>
  <si>
    <t>CUST0250</t>
  </si>
  <si>
    <t>CUST0251</t>
  </si>
  <si>
    <t>CUST0252</t>
  </si>
  <si>
    <t>CUST0253</t>
  </si>
  <si>
    <t>CUST0254</t>
  </si>
  <si>
    <t>CUST0255</t>
  </si>
  <si>
    <t>CUST0256</t>
  </si>
  <si>
    <t>CUST0257</t>
  </si>
  <si>
    <t>CUST0258</t>
  </si>
  <si>
    <t>CUST0259</t>
  </si>
  <si>
    <t>CUST0260</t>
  </si>
  <si>
    <t>CUST0261</t>
  </si>
  <si>
    <t>CUST0262</t>
  </si>
  <si>
    <t>CUST0263</t>
  </si>
  <si>
    <t>CUST0264</t>
  </si>
  <si>
    <t>CUST0265</t>
  </si>
  <si>
    <t>CUST0266</t>
  </si>
  <si>
    <t>CUST0267</t>
  </si>
  <si>
    <t>CUST0268</t>
  </si>
  <si>
    <t>CUST0269</t>
  </si>
  <si>
    <t>CUST0270</t>
  </si>
  <si>
    <t>CUST0271</t>
  </si>
  <si>
    <t>CUST0272</t>
  </si>
  <si>
    <t>CUST0273</t>
  </si>
  <si>
    <t>CUST0274</t>
  </si>
  <si>
    <t>CUST0275</t>
  </si>
  <si>
    <t>CUST0276</t>
  </si>
  <si>
    <t>CUST0277</t>
  </si>
  <si>
    <t>CUST0278</t>
  </si>
  <si>
    <t>CUST0279</t>
  </si>
  <si>
    <t>CUST0280</t>
  </si>
  <si>
    <t>CUST0281</t>
  </si>
  <si>
    <t>CUST0282</t>
  </si>
  <si>
    <t>CUST0283</t>
  </si>
  <si>
    <t>CUST0284</t>
  </si>
  <si>
    <t>CUST0285</t>
  </si>
  <si>
    <t>CUST0286</t>
  </si>
  <si>
    <t>CUST0287</t>
  </si>
  <si>
    <t>CUST0288</t>
  </si>
  <si>
    <t>CUST0289</t>
  </si>
  <si>
    <t>CUST0290</t>
  </si>
  <si>
    <t>CUST0291</t>
  </si>
  <si>
    <t>CUST0292</t>
  </si>
  <si>
    <t>CUST0293</t>
  </si>
  <si>
    <t>CUST0294</t>
  </si>
  <si>
    <t>CUST0295</t>
  </si>
  <si>
    <t>CUST0296</t>
  </si>
  <si>
    <t>CUST0297</t>
  </si>
  <si>
    <t>CUST0298</t>
  </si>
  <si>
    <t>CUST0299</t>
  </si>
  <si>
    <t>CUST0300</t>
  </si>
  <si>
    <t>CUST0301</t>
  </si>
  <si>
    <t>CUST0302</t>
  </si>
  <si>
    <t>CUST0303</t>
  </si>
  <si>
    <t>CUST0304</t>
  </si>
  <si>
    <t>CUST0305</t>
  </si>
  <si>
    <t>CUST0306</t>
  </si>
  <si>
    <t>CUST0307</t>
  </si>
  <si>
    <t>CUST0308</t>
  </si>
  <si>
    <t>CUST0309</t>
  </si>
  <si>
    <t>CUST0310</t>
  </si>
  <si>
    <t>CUST0311</t>
  </si>
  <si>
    <t>CUST0312</t>
  </si>
  <si>
    <t>CUST0313</t>
  </si>
  <si>
    <t>CUST0314</t>
  </si>
  <si>
    <t>CUST0315</t>
  </si>
  <si>
    <t>CUST0316</t>
  </si>
  <si>
    <t>CUST0317</t>
  </si>
  <si>
    <t>CUST0318</t>
  </si>
  <si>
    <t>CUST0319</t>
  </si>
  <si>
    <t>CUST0320</t>
  </si>
  <si>
    <t>CUST0321</t>
  </si>
  <si>
    <t>CUST0322</t>
  </si>
  <si>
    <t>CUST0323</t>
  </si>
  <si>
    <t>CUST0324</t>
  </si>
  <si>
    <t>CUST0325</t>
  </si>
  <si>
    <t>CUST0326</t>
  </si>
  <si>
    <t>CUST0327</t>
  </si>
  <si>
    <t>CUST0328</t>
  </si>
  <si>
    <t>CUST0329</t>
  </si>
  <si>
    <t>CUST0330</t>
  </si>
  <si>
    <t>CUST0331</t>
  </si>
  <si>
    <t>CUST0332</t>
  </si>
  <si>
    <t>CUST0333</t>
  </si>
  <si>
    <t>CUST0334</t>
  </si>
  <si>
    <t>CUST0335</t>
  </si>
  <si>
    <t>CUST0336</t>
  </si>
  <si>
    <t>CUST0337</t>
  </si>
  <si>
    <t>CUST0338</t>
  </si>
  <si>
    <t>CUST0339</t>
  </si>
  <si>
    <t>CUST0340</t>
  </si>
  <si>
    <t>CUST0341</t>
  </si>
  <si>
    <t>CUST0342</t>
  </si>
  <si>
    <t>CUST0343</t>
  </si>
  <si>
    <t>CUST0344</t>
  </si>
  <si>
    <t>CUST0345</t>
  </si>
  <si>
    <t>CUST0346</t>
  </si>
  <si>
    <t>CUST0347</t>
  </si>
  <si>
    <t>CUST0348</t>
  </si>
  <si>
    <t>CUST0349</t>
  </si>
  <si>
    <t>CUST0350</t>
  </si>
  <si>
    <t>CUST0351</t>
  </si>
  <si>
    <t>CUST0352</t>
  </si>
  <si>
    <t>CUST0353</t>
  </si>
  <si>
    <t>CUST0354</t>
  </si>
  <si>
    <t>CUST0355</t>
  </si>
  <si>
    <t>CUST0356</t>
  </si>
  <si>
    <t>CUST0357</t>
  </si>
  <si>
    <t>CUST0358</t>
  </si>
  <si>
    <t>CUST0359</t>
  </si>
  <si>
    <t>CUST0360</t>
  </si>
  <si>
    <t>CUST0361</t>
  </si>
  <si>
    <t>CUST0362</t>
  </si>
  <si>
    <t>CUST0363</t>
  </si>
  <si>
    <t>CUST0364</t>
  </si>
  <si>
    <t>CUST0365</t>
  </si>
  <si>
    <t>CUST0366</t>
  </si>
  <si>
    <t>CUST0367</t>
  </si>
  <si>
    <t>CUST0368</t>
  </si>
  <si>
    <t>CUST0369</t>
  </si>
  <si>
    <t>CUST0370</t>
  </si>
  <si>
    <t>CUST0371</t>
  </si>
  <si>
    <t>CUST0372</t>
  </si>
  <si>
    <t>CUST0373</t>
  </si>
  <si>
    <t>CUST0374</t>
  </si>
  <si>
    <t>CUST0375</t>
  </si>
  <si>
    <t>CUST0376</t>
  </si>
  <si>
    <t>CUST0377</t>
  </si>
  <si>
    <t>CUST0378</t>
  </si>
  <si>
    <t>CUST0379</t>
  </si>
  <si>
    <t>CUST0380</t>
  </si>
  <si>
    <t>CUST0381</t>
  </si>
  <si>
    <t>CUST0382</t>
  </si>
  <si>
    <t>CUST0383</t>
  </si>
  <si>
    <t>CUST0384</t>
  </si>
  <si>
    <t>CUST0385</t>
  </si>
  <si>
    <t>CUST0386</t>
  </si>
  <si>
    <t>CUST0387</t>
  </si>
  <si>
    <t>CUST0388</t>
  </si>
  <si>
    <t>CUST0389</t>
  </si>
  <si>
    <t>CUST0390</t>
  </si>
  <si>
    <t>CUST0391</t>
  </si>
  <si>
    <t>CUST0392</t>
  </si>
  <si>
    <t>CUST0393</t>
  </si>
  <si>
    <t>CUST0394</t>
  </si>
  <si>
    <t>CUST0395</t>
  </si>
  <si>
    <t>CUST0396</t>
  </si>
  <si>
    <t>CUST0397</t>
  </si>
  <si>
    <t>CUST0398</t>
  </si>
  <si>
    <t>CUST0399</t>
  </si>
  <si>
    <t>CUST0400</t>
  </si>
  <si>
    <t>Female</t>
  </si>
  <si>
    <t>Male</t>
  </si>
  <si>
    <t>Other</t>
  </si>
  <si>
    <t>NSW</t>
  </si>
  <si>
    <t>QLD</t>
  </si>
  <si>
    <t>ACT</t>
  </si>
  <si>
    <t>SA</t>
  </si>
  <si>
    <t>WA</t>
  </si>
  <si>
    <t>VIC</t>
  </si>
  <si>
    <t>NT</t>
  </si>
  <si>
    <t>TAS</t>
  </si>
  <si>
    <t>Married</t>
  </si>
  <si>
    <t>Single</t>
  </si>
  <si>
    <t>Divorced</t>
  </si>
  <si>
    <t>Widowed</t>
  </si>
  <si>
    <t>Master's</t>
  </si>
  <si>
    <t>Bachelor's</t>
  </si>
  <si>
    <t>PhD</t>
  </si>
  <si>
    <t>High School</t>
  </si>
  <si>
    <t>Yes</t>
  </si>
  <si>
    <t>No</t>
  </si>
  <si>
    <t>Rarely</t>
  </si>
  <si>
    <t>Sometimes</t>
  </si>
  <si>
    <t>Often</t>
  </si>
  <si>
    <t>Always</t>
  </si>
  <si>
    <t>Sports</t>
  </si>
  <si>
    <t>Beauty</t>
  </si>
  <si>
    <t>Home &amp; Kitchen</t>
  </si>
  <si>
    <t>Clothing</t>
  </si>
  <si>
    <t>Electronics</t>
  </si>
  <si>
    <t>Frequently</t>
  </si>
  <si>
    <t>Occasionally</t>
  </si>
  <si>
    <t>Never</t>
  </si>
  <si>
    <t>Variable Name</t>
  </si>
  <si>
    <t>Description</t>
  </si>
  <si>
    <t>Unique customer identifier assigned to each individual.</t>
  </si>
  <si>
    <t>Age of the customer in years, ranging from 18 to 75.</t>
  </si>
  <si>
    <t>Gender category: Male, Female, or Other, based on self-identification.</t>
  </si>
  <si>
    <t>Australian state where the customer resides (e.g., NSW, VIC, QLD, etc.).</t>
  </si>
  <si>
    <t>Marital status of the customer: Single, Married, Divorced, or Widowed.</t>
  </si>
  <si>
    <t>Highest level of education completed: High School, Bachelor's, Master's, or PhD.</t>
  </si>
  <si>
    <t>Annual income of the customer in thousands of AUD (e.g., 50 represents $50,000 AUD).</t>
  </si>
  <si>
    <t>Total amount spent by the customer at AussieMart in the last year, measured in thousands of AUD (e.g., 10 represents $10,000 AUD).</t>
  </si>
  <si>
    <t>Total number of purchases made by the customer at AussieMart within the last year.</t>
  </si>
  <si>
    <t>Average amount spent per transaction, calculated as Total Spending divided by Number of Transactions.</t>
  </si>
  <si>
    <t>Indicates whether the customer is enrolled in the AussieMart loyalty program (Yes/No).</t>
  </si>
  <si>
    <t>Frequency of online shopping: Rarely, Sometimes, Often, or Always, based on past behavior.</t>
  </si>
  <si>
    <t>Preferred shopping category: The product type the customer most frequently purchases (Electronics, Clothing, Home &amp; Kitchen, Beauty, or Sports).</t>
  </si>
  <si>
    <t>How frequently the customer uses discounts: Never, Occasionally, or Frequently.</t>
  </si>
  <si>
    <t>Customer satisfaction score on a scale from 1 (very dissatisfied) to 10 (very satisfied).</t>
  </si>
  <si>
    <t>The percentage of purchases that the customer returned, ranging from 0% to 50%.</t>
  </si>
  <si>
    <t>Total_Spend</t>
  </si>
  <si>
    <t>Numerical Data</t>
  </si>
  <si>
    <r>
      <rPr>
        <b/>
        <sz val="11"/>
        <color rgb="FFFF0000"/>
        <rFont val="Symbol"/>
        <family val="1"/>
        <charset val="2"/>
      </rPr>
      <t>s</t>
    </r>
    <r>
      <rPr>
        <sz val="11"/>
        <rFont val="Arial"/>
        <family val="2"/>
      </rPr>
      <t xml:space="preserve"> </t>
    </r>
    <r>
      <rPr>
        <b/>
        <sz val="11"/>
        <rFont val="Calibri"/>
        <family val="2"/>
        <scheme val="minor"/>
      </rPr>
      <t>Known</t>
    </r>
  </si>
  <si>
    <r>
      <rPr>
        <b/>
        <sz val="11"/>
        <color rgb="FFFF0000"/>
        <rFont val="Symbol"/>
        <family val="1"/>
        <charset val="2"/>
      </rPr>
      <t>s</t>
    </r>
    <r>
      <rPr>
        <sz val="11"/>
        <rFont val="Symbol"/>
        <family val="1"/>
        <charset val="2"/>
      </rPr>
      <t xml:space="preserve"> </t>
    </r>
    <r>
      <rPr>
        <b/>
        <sz val="11"/>
        <rFont val="Calibri"/>
        <family val="2"/>
        <scheme val="minor"/>
      </rPr>
      <t>Unknown</t>
    </r>
  </si>
  <si>
    <t>Categorical Data</t>
  </si>
  <si>
    <r>
      <t>Confidence Interval for mean (</t>
    </r>
    <r>
      <rPr>
        <b/>
        <sz val="10"/>
        <rFont val="Symbol"/>
        <family val="1"/>
        <charset val="2"/>
      </rPr>
      <t>m</t>
    </r>
    <r>
      <rPr>
        <b/>
        <sz val="10"/>
        <rFont val="Arial"/>
        <family val="2"/>
      </rPr>
      <t>)</t>
    </r>
  </si>
  <si>
    <t>Confidence Interval for proportion</t>
  </si>
  <si>
    <t>Data</t>
  </si>
  <si>
    <r>
      <t>Population Standard Deviation (</t>
    </r>
    <r>
      <rPr>
        <b/>
        <sz val="10"/>
        <color rgb="FF3333FF"/>
        <rFont val="Symbol"/>
        <family val="1"/>
        <charset val="2"/>
      </rPr>
      <t>s</t>
    </r>
    <r>
      <rPr>
        <sz val="10"/>
        <rFont val="Arial"/>
        <family val="2"/>
      </rPr>
      <t>)</t>
    </r>
  </si>
  <si>
    <r>
      <t>Sample Standard Deviation (</t>
    </r>
    <r>
      <rPr>
        <b/>
        <sz val="10"/>
        <color rgb="FF3333FF"/>
        <rFont val="Arial"/>
        <family val="2"/>
      </rPr>
      <t>s</t>
    </r>
    <r>
      <rPr>
        <sz val="10"/>
        <rFont val="Arial"/>
        <family val="2"/>
      </rPr>
      <t>)</t>
    </r>
  </si>
  <si>
    <r>
      <t>Sample Size (</t>
    </r>
    <r>
      <rPr>
        <b/>
        <sz val="10"/>
        <color rgb="FF3333FF"/>
        <rFont val="Arial"/>
        <family val="2"/>
      </rPr>
      <t>n</t>
    </r>
    <r>
      <rPr>
        <sz val="10"/>
        <rFont val="Arial"/>
        <family val="2"/>
      </rPr>
      <t>)</t>
    </r>
  </si>
  <si>
    <t>Sample Mean (  )</t>
  </si>
  <si>
    <r>
      <t>Sample Mean (</t>
    </r>
    <r>
      <rPr>
        <b/>
        <sz val="10"/>
        <color rgb="FF3333FF"/>
        <rFont val="Arial"/>
        <family val="2"/>
      </rPr>
      <t xml:space="preserve">  </t>
    </r>
    <r>
      <rPr>
        <sz val="10"/>
        <rFont val="Arial"/>
        <family val="2"/>
      </rPr>
      <t>)</t>
    </r>
  </si>
  <si>
    <t>Count of Successes</t>
  </si>
  <si>
    <t>Confidence Level</t>
  </si>
  <si>
    <t xml:space="preserve">Confidence Level </t>
  </si>
  <si>
    <t>Intermediate Calculations</t>
  </si>
  <si>
    <t>Standard Error of the Mean (                 )</t>
  </si>
  <si>
    <r>
      <t>Sample Proportion (</t>
    </r>
    <r>
      <rPr>
        <b/>
        <sz val="10"/>
        <color rgb="FF3333FF"/>
        <rFont val="Arial"/>
        <family val="2"/>
      </rPr>
      <t>p</t>
    </r>
    <r>
      <rPr>
        <sz val="10"/>
        <rFont val="Arial"/>
        <family val="2"/>
      </rPr>
      <t>)</t>
    </r>
  </si>
  <si>
    <t>Z Value</t>
  </si>
  <si>
    <r>
      <t>Degrees of Freedom (</t>
    </r>
    <r>
      <rPr>
        <b/>
        <sz val="10"/>
        <color rgb="FF3333FF"/>
        <rFont val="Arial"/>
        <family val="2"/>
      </rPr>
      <t>df = n-1</t>
    </r>
    <r>
      <rPr>
        <sz val="10"/>
        <rFont val="Arial"/>
        <family val="2"/>
      </rPr>
      <t>)</t>
    </r>
  </si>
  <si>
    <r>
      <t>Sampling Error/Margin of Error (</t>
    </r>
    <r>
      <rPr>
        <b/>
        <sz val="10"/>
        <color rgb="FF3333FF"/>
        <rFont val="Arial"/>
        <family val="2"/>
      </rPr>
      <t>= SE *Z Value</t>
    </r>
    <r>
      <rPr>
        <sz val="10"/>
        <rFont val="Arial"/>
        <family val="2"/>
      </rPr>
      <t>)</t>
    </r>
  </si>
  <si>
    <r>
      <t>t</t>
    </r>
    <r>
      <rPr>
        <sz val="10"/>
        <rFont val="Arial"/>
        <family val="2"/>
      </rPr>
      <t xml:space="preserve">  Value</t>
    </r>
  </si>
  <si>
    <t>Standard Error of the Proportion (                                )</t>
  </si>
  <si>
    <r>
      <t xml:space="preserve">Sampling Error/Margin of Error </t>
    </r>
    <r>
      <rPr>
        <sz val="10"/>
        <color rgb="FF0000FF"/>
        <rFont val="Arial"/>
        <family val="2"/>
      </rPr>
      <t>(</t>
    </r>
    <r>
      <rPr>
        <b/>
        <sz val="10"/>
        <color rgb="FF0000FF"/>
        <rFont val="Arial"/>
        <family val="2"/>
      </rPr>
      <t>= SE * t Value</t>
    </r>
    <r>
      <rPr>
        <sz val="10"/>
        <color rgb="FF0000FF"/>
        <rFont val="Arial"/>
        <family val="2"/>
      </rPr>
      <t>)</t>
    </r>
  </si>
  <si>
    <r>
      <t>Sampling Error/Margin of Error (</t>
    </r>
    <r>
      <rPr>
        <b/>
        <sz val="10"/>
        <color rgb="FF3333FF"/>
        <rFont val="Arial"/>
        <family val="2"/>
      </rPr>
      <t>= SE * Z Value</t>
    </r>
    <r>
      <rPr>
        <sz val="10"/>
        <rFont val="Arial"/>
        <family val="2"/>
      </rPr>
      <t>)</t>
    </r>
  </si>
  <si>
    <t>Confidence Interval</t>
  </si>
  <si>
    <r>
      <t>Interval Lower Limit (</t>
    </r>
    <r>
      <rPr>
        <sz val="10"/>
        <color rgb="FF0000FF"/>
        <rFont val="Arial"/>
        <family val="2"/>
      </rPr>
      <t>= Sample Mean - ME</t>
    </r>
    <r>
      <rPr>
        <sz val="10"/>
        <rFont val="Arial"/>
        <family val="2"/>
      </rPr>
      <t>)</t>
    </r>
  </si>
  <si>
    <r>
      <t>Interval Upper Limit (</t>
    </r>
    <r>
      <rPr>
        <sz val="10"/>
        <color rgb="FF0000FF"/>
        <rFont val="Arial"/>
        <family val="2"/>
      </rPr>
      <t>= Sample Mean + ME</t>
    </r>
    <r>
      <rPr>
        <sz val="10"/>
        <rFont val="Arial"/>
        <family val="2"/>
      </rPr>
      <t>)</t>
    </r>
  </si>
  <si>
    <r>
      <t>Interval Lower Limit (</t>
    </r>
    <r>
      <rPr>
        <sz val="10"/>
        <color rgb="FF0000FF"/>
        <rFont val="Arial"/>
        <family val="2"/>
      </rPr>
      <t>= Sample Proportion - ME</t>
    </r>
    <r>
      <rPr>
        <sz val="10"/>
        <rFont val="Arial"/>
        <family val="2"/>
      </rPr>
      <t>)</t>
    </r>
  </si>
  <si>
    <r>
      <t>Interval Upper Limit (</t>
    </r>
    <r>
      <rPr>
        <sz val="10"/>
        <color rgb="FF0000FF"/>
        <rFont val="Arial"/>
        <family val="2"/>
      </rPr>
      <t>= Sample Proportion + ME</t>
    </r>
    <r>
      <rPr>
        <sz val="10"/>
        <rFont val="Arial"/>
        <family val="2"/>
      </rPr>
      <t>)</t>
    </r>
  </si>
  <si>
    <t>Decision</t>
  </si>
  <si>
    <t>p-value</t>
  </si>
  <si>
    <r>
      <t>Z</t>
    </r>
    <r>
      <rPr>
        <sz val="11"/>
        <rFont val="Calibri"/>
        <family val="2"/>
        <scheme val="minor"/>
      </rPr>
      <t xml:space="preserve"> Sample Statistic</t>
    </r>
  </si>
  <si>
    <r>
      <t>t</t>
    </r>
    <r>
      <rPr>
        <sz val="10"/>
        <rFont val="Arial"/>
        <family val="2"/>
      </rPr>
      <t xml:space="preserve"> Sample Statistic</t>
    </r>
  </si>
  <si>
    <r>
      <t>z</t>
    </r>
    <r>
      <rPr>
        <sz val="10"/>
        <rFont val="Arial"/>
        <family val="2"/>
      </rPr>
      <t xml:space="preserve"> Sample Statistic</t>
    </r>
  </si>
  <si>
    <t>Standard Error of the Mean</t>
  </si>
  <si>
    <t>Standard Error</t>
  </si>
  <si>
    <t>Sample proportion, p</t>
  </si>
  <si>
    <t>Sample Size</t>
  </si>
  <si>
    <t>Sample Mean</t>
  </si>
  <si>
    <t>Count of 'Successes'</t>
  </si>
  <si>
    <t>Sample Data</t>
  </si>
  <si>
    <t>Sample Standard Deviation</t>
  </si>
  <si>
    <t>Population Standard Deviation</t>
  </si>
  <si>
    <t>Critical Value (s)</t>
  </si>
  <si>
    <t>Degrees of Freedom</t>
  </si>
  <si>
    <t>Critical Region</t>
  </si>
  <si>
    <t>α</t>
  </si>
  <si>
    <t>Level of significance</t>
  </si>
  <si>
    <t>Test Type</t>
  </si>
  <si>
    <t>π</t>
  </si>
  <si>
    <t>Alternative Hypothesis</t>
  </si>
  <si>
    <t xml:space="preserve"> µ</t>
  </si>
  <si>
    <t>Null Hypothesis</t>
  </si>
  <si>
    <t>Hypotheses</t>
  </si>
  <si>
    <r>
      <t xml:space="preserve">Hypothesis Test for </t>
    </r>
    <r>
      <rPr>
        <b/>
        <sz val="10"/>
        <rFont val="Calibri"/>
        <family val="2"/>
      </rPr>
      <t>π</t>
    </r>
  </si>
  <si>
    <t>Hypothesis Test for µ (Mean)</t>
  </si>
  <si>
    <r>
      <t xml:space="preserve">Hypothesis Test for </t>
    </r>
    <r>
      <rPr>
        <b/>
        <sz val="10"/>
        <rFont val="Calibri"/>
        <family val="2"/>
      </rPr>
      <t>µ</t>
    </r>
  </si>
  <si>
    <t>Categorical data</t>
  </si>
  <si>
    <r>
      <rPr>
        <b/>
        <sz val="11"/>
        <color theme="1"/>
        <rFont val="Symbol"/>
        <family val="1"/>
        <charset val="2"/>
      </rPr>
      <t>s</t>
    </r>
    <r>
      <rPr>
        <b/>
        <sz val="11"/>
        <color theme="1"/>
        <rFont val="Calibri"/>
        <family val="2"/>
      </rPr>
      <t xml:space="preserve"> Known</t>
    </r>
  </si>
  <si>
    <r>
      <rPr>
        <b/>
        <sz val="11"/>
        <color theme="1"/>
        <rFont val="Symbol"/>
        <family val="1"/>
        <charset val="2"/>
      </rPr>
      <t>s</t>
    </r>
    <r>
      <rPr>
        <b/>
        <sz val="11"/>
        <color theme="1"/>
        <rFont val="Calibri"/>
        <family val="2"/>
      </rPr>
      <t xml:space="preserve"> Unknown</t>
    </r>
  </si>
  <si>
    <t>Minimum Sample Size Needed</t>
  </si>
  <si>
    <t>Result</t>
  </si>
  <si>
    <t>Calculated Sample Size</t>
  </si>
  <si>
    <r>
      <rPr>
        <i/>
        <sz val="11"/>
        <rFont val="Calibri"/>
        <family val="2"/>
        <scheme val="minor"/>
      </rPr>
      <t>Z</t>
    </r>
    <r>
      <rPr>
        <sz val="11"/>
        <rFont val="Calibri"/>
        <family val="2"/>
        <scheme val="minor"/>
      </rPr>
      <t xml:space="preserve"> value</t>
    </r>
  </si>
  <si>
    <t>Sampling Error/Margin of Error</t>
  </si>
  <si>
    <r>
      <t>Population OR Sample Standard Deviation (</t>
    </r>
    <r>
      <rPr>
        <b/>
        <sz val="11"/>
        <color rgb="FF3333FF"/>
        <rFont val="Calibri"/>
        <family val="2"/>
        <scheme val="minor"/>
      </rPr>
      <t xml:space="preserve"> </t>
    </r>
    <r>
      <rPr>
        <b/>
        <sz val="11"/>
        <color rgb="FF3333FF"/>
        <rFont val="Symbol"/>
        <family val="1"/>
        <charset val="2"/>
      </rPr>
      <t>s</t>
    </r>
    <r>
      <rPr>
        <sz val="11"/>
        <rFont val="Calibri"/>
        <family val="2"/>
      </rPr>
      <t xml:space="preserve"> or </t>
    </r>
    <r>
      <rPr>
        <b/>
        <sz val="11"/>
        <color rgb="FF3333FF"/>
        <rFont val="Calibri"/>
        <family val="2"/>
      </rPr>
      <t>s</t>
    </r>
    <r>
      <rPr>
        <sz val="11"/>
        <rFont val="Calibri"/>
        <family val="2"/>
        <scheme val="minor"/>
      </rPr>
      <t>)</t>
    </r>
  </si>
  <si>
    <r>
      <t xml:space="preserve">Estimate of True Proportion ( </t>
    </r>
    <r>
      <rPr>
        <b/>
        <sz val="11"/>
        <color rgb="FF3333FF"/>
        <rFont val="Calibri"/>
        <family val="2"/>
        <scheme val="minor"/>
      </rPr>
      <t xml:space="preserve">p or </t>
    </r>
    <r>
      <rPr>
        <b/>
        <sz val="11"/>
        <color rgb="FF3333FF"/>
        <rFont val="Symbol"/>
        <family val="1"/>
        <charset val="2"/>
      </rPr>
      <t xml:space="preserve">p </t>
    </r>
    <r>
      <rPr>
        <sz val="11"/>
        <rFont val="Calibri"/>
        <family val="2"/>
        <scheme val="minor"/>
      </rPr>
      <t>)</t>
    </r>
  </si>
  <si>
    <t>Sample size for a Mean</t>
  </si>
  <si>
    <t>Sample size for a Proportion</t>
  </si>
  <si>
    <t>Income</t>
  </si>
  <si>
    <t>Avg_Trans</t>
  </si>
  <si>
    <t>Median</t>
  </si>
  <si>
    <t>Maximum</t>
  </si>
  <si>
    <t>Range</t>
  </si>
  <si>
    <t>Mean</t>
  </si>
  <si>
    <t>Count</t>
  </si>
  <si>
    <t>Number of Bins</t>
  </si>
  <si>
    <t>Bin-width</t>
  </si>
  <si>
    <t>Minimum</t>
  </si>
  <si>
    <t>Bin-Number</t>
  </si>
  <si>
    <t>Bin-Upper Limit</t>
  </si>
  <si>
    <t>Frequency(f)</t>
  </si>
  <si>
    <t>&lt; $22</t>
  </si>
  <si>
    <t>$23 - $44</t>
  </si>
  <si>
    <t>$45 - $66</t>
  </si>
  <si>
    <t>$67 - $88</t>
  </si>
  <si>
    <t>$89 - $110</t>
  </si>
  <si>
    <t>$111 - $132</t>
  </si>
  <si>
    <t>&gt; $132</t>
  </si>
  <si>
    <t>Mode</t>
  </si>
  <si>
    <t>Online Purchase Frequency</t>
  </si>
  <si>
    <t>Customer Count</t>
  </si>
  <si>
    <t>Percentage of Total</t>
  </si>
  <si>
    <t>Value</t>
  </si>
  <si>
    <t>Frequency (Count)</t>
  </si>
  <si>
    <t>164 Customers</t>
  </si>
  <si>
    <t>% of Total</t>
  </si>
  <si>
    <t>Statistical Summary</t>
  </si>
  <si>
    <t>Grand Total</t>
  </si>
  <si>
    <t>Measure</t>
  </si>
  <si>
    <t>Metric</t>
  </si>
  <si>
    <t>Standard Deviation</t>
  </si>
  <si>
    <t>Relationship Strength (Correlation)</t>
  </si>
  <si>
    <t>Change Together Amount(Covariance)</t>
  </si>
  <si>
    <t>Measured</t>
  </si>
  <si>
    <t>Customer-Gender</t>
  </si>
  <si>
    <t>Not in Loyalty Program</t>
  </si>
  <si>
    <t>In Loyalty Program</t>
  </si>
  <si>
    <t>Total Customers</t>
  </si>
  <si>
    <t>Number of Customers by Loyalty Status</t>
  </si>
  <si>
    <t>Membership Status</t>
  </si>
  <si>
    <t>Joint Probability Table</t>
  </si>
  <si>
    <t>Conditional Probability</t>
  </si>
  <si>
    <t>Customer Gender</t>
  </si>
  <si>
    <t>Total Percentage</t>
  </si>
  <si>
    <t>Chances of NOT IN Loyalty Program (given Gender)</t>
  </si>
  <si>
    <t>Chances of IN Loyalty Program (given Gender)</t>
  </si>
  <si>
    <t>How Gender Relates to Loyalty Program Membership</t>
  </si>
  <si>
    <t>CONTINGENCY-TABLE</t>
  </si>
  <si>
    <t>Probability-Analysis</t>
  </si>
  <si>
    <t>Sum</t>
  </si>
  <si>
    <t>Total</t>
  </si>
  <si>
    <t>Sample Variance</t>
  </si>
  <si>
    <t>Kurtosis</t>
  </si>
  <si>
    <t>Skewness</t>
  </si>
  <si>
    <t>Statistic</t>
  </si>
  <si>
    <t>Parameter</t>
  </si>
  <si>
    <t>Descriptive Summary Table — Total_Spend</t>
  </si>
  <si>
    <t>One-Tailed</t>
  </si>
  <si>
    <t>&gt;</t>
  </si>
  <si>
    <t>&lt;</t>
  </si>
  <si>
    <t xml:space="preserve"># reject null hypothese </t>
  </si>
  <si>
    <t>Statistics</t>
  </si>
  <si>
    <t>Component</t>
  </si>
  <si>
    <t>Bin Labels</t>
  </si>
  <si>
    <t>Online-purchase Frequency-Distribution</t>
  </si>
  <si>
    <t>Total Responses</t>
  </si>
  <si>
    <t>400 Customers</t>
  </si>
  <si>
    <t>Number of Categories</t>
  </si>
  <si>
    <t>Age_Groups</t>
  </si>
  <si>
    <t>18-29</t>
  </si>
  <si>
    <t>30-44</t>
  </si>
  <si>
    <t>45-59</t>
  </si>
  <si>
    <t>60+</t>
  </si>
  <si>
    <t>Age Group</t>
  </si>
  <si>
    <t>Frequently (%)</t>
  </si>
  <si>
    <t>Total (%)</t>
  </si>
  <si>
    <t>Under 30</t>
  </si>
  <si>
    <t>30–44</t>
  </si>
  <si>
    <t>45–59</t>
  </si>
  <si>
    <t>Never (%)</t>
  </si>
  <si>
    <t>Occasionally(%)</t>
  </si>
  <si>
    <t>Occasionally (%)</t>
  </si>
  <si>
    <t>Descriptive Statistics</t>
  </si>
  <si>
    <t>Disk_Usage</t>
  </si>
  <si>
    <t>Row Total (Marginal Probability)</t>
  </si>
  <si>
    <t>Column Total (Marginal Probability)</t>
  </si>
  <si>
    <t>Total_Spend Summary</t>
  </si>
  <si>
    <t xml:space="preserve">statistics </t>
  </si>
  <si>
    <t>value</t>
  </si>
  <si>
    <t>Q1</t>
  </si>
  <si>
    <t>Q3</t>
  </si>
  <si>
    <t>IQR</t>
  </si>
  <si>
    <t>Percentiles and Quartles for Outlier Detection</t>
  </si>
  <si>
    <t>DESCRIPTIVE_STATISTICS</t>
  </si>
  <si>
    <r>
      <t xml:space="preserve">Customer Spending Overview through </t>
    </r>
    <r>
      <rPr>
        <i/>
        <sz val="18"/>
        <color theme="1"/>
        <rFont val="Calibri"/>
        <family val="2"/>
        <scheme val="minor"/>
      </rPr>
      <t>Total_Spend</t>
    </r>
  </si>
  <si>
    <r>
      <t xml:space="preserve">Customers Shopping habits through </t>
    </r>
    <r>
      <rPr>
        <b/>
        <i/>
        <sz val="22"/>
        <color theme="1"/>
        <rFont val="Calibri"/>
        <family val="2"/>
        <scheme val="minor"/>
      </rPr>
      <t>Online_Freq</t>
    </r>
  </si>
  <si>
    <t>Pie Chart for Customer Online Shopping Frequency</t>
  </si>
  <si>
    <t>Bar Chart for Number of Customers by Shopping Frequency</t>
  </si>
  <si>
    <t>Box Plot of Customer Spending</t>
  </si>
  <si>
    <t>Histogram of Customer Spending Distribution</t>
  </si>
  <si>
    <t>Descriptive Statistics for Total Spend and Number of Transactions</t>
  </si>
  <si>
    <t>Correlation and Covariance Between Total Spend and Number of Transactions</t>
  </si>
  <si>
    <t>Analyzing Total Spend vs Num_Trans</t>
  </si>
  <si>
    <t>Spending_Groups</t>
  </si>
  <si>
    <t>Sum of Num_Trans</t>
  </si>
  <si>
    <t>Count of Total_Spend</t>
  </si>
  <si>
    <t>Average of Total_Spend</t>
  </si>
  <si>
    <t>High Spend ($89,000 - $132,000)</t>
  </si>
  <si>
    <t>Low Spend (&lt;$22,000)</t>
  </si>
  <si>
    <t>Lower-Middle Spend ($23,000 - $44,000)</t>
  </si>
  <si>
    <t>Middle Spend ($45,000 - $66,000)</t>
  </si>
  <si>
    <t>Premium Spend (&gt;$132,000)</t>
  </si>
  <si>
    <t>Upper-Middle Spend ($67,000 - $88,000)</t>
  </si>
  <si>
    <t>Commparitive Summary</t>
  </si>
  <si>
    <t>The Spending Group Column sorts customers by how much they spend, making it easier to understand their buying habits and create better strategies for different customer type</t>
  </si>
  <si>
    <t xml:space="preserve">Scatter-Plot for Analysing the relationship between Total spending and number of customers </t>
  </si>
  <si>
    <t>Outliers-detection in Number of Transaction Column</t>
  </si>
  <si>
    <t>Count of Customers</t>
  </si>
  <si>
    <t>Customer Loyalty Program and Gender Distribution</t>
  </si>
  <si>
    <t>Gender-Based Conditional Probability for Loyalty Program Membership</t>
  </si>
  <si>
    <t>Customer Distribution by Gender and Loyalty Program Membership</t>
  </si>
  <si>
    <t>Average Age</t>
  </si>
  <si>
    <t>Most Common Age</t>
  </si>
  <si>
    <t>Age Range</t>
  </si>
  <si>
    <t xml:space="preserve">Frequency of Discount Usage
</t>
  </si>
  <si>
    <t>Count of Each Discount Usage Category</t>
  </si>
  <si>
    <t>Contingency Table: Relationship Between Age Group and Discount Usage</t>
  </si>
  <si>
    <t>Relationship Between Age Group and Discount Usag</t>
  </si>
  <si>
    <t xml:space="preserve">Probabilities of Each Age Group's Discount Usage
Probabilities of Each Age Group's Discount Usage
Probabilities of Each Age Group's Discount Usage
Probabilities of Each Age Group's Discount Usage
Probabilities of Each Age Group's Discount Usage
</t>
  </si>
  <si>
    <t xml:space="preserve">Probability of Discount Usage Given Age Group
</t>
  </si>
  <si>
    <t>AGE_Groups</t>
  </si>
  <si>
    <t>Age_Groups of customers</t>
  </si>
  <si>
    <t xml:space="preserve">Summary Measure </t>
  </si>
  <si>
    <t>Analysis of Age Group and Discount Usage</t>
  </si>
  <si>
    <t>Q1 (25th percentile)</t>
  </si>
  <si>
    <t>Q3 (75th percentile)</t>
  </si>
  <si>
    <t>Inter-Quartile-Range</t>
  </si>
  <si>
    <t>Descriptive Summary</t>
  </si>
  <si>
    <t>Quartile and Percentile Summary</t>
  </si>
  <si>
    <t>Estimating the Return Rate of Customers</t>
  </si>
  <si>
    <r>
      <rPr>
        <b/>
        <sz val="12"/>
        <color rgb="FFFF0000"/>
        <rFont val="Symbol"/>
        <family val="1"/>
        <charset val="2"/>
      </rPr>
      <t>s</t>
    </r>
    <r>
      <rPr>
        <sz val="12"/>
        <rFont val="Symbol"/>
        <family val="1"/>
        <charset val="2"/>
      </rPr>
      <t xml:space="preserve"> </t>
    </r>
    <r>
      <rPr>
        <b/>
        <sz val="12"/>
        <rFont val="Calibri"/>
        <family val="2"/>
        <scheme val="minor"/>
      </rPr>
      <t>Unknown</t>
    </r>
  </si>
  <si>
    <r>
      <t>Confidence Interval for mean (</t>
    </r>
    <r>
      <rPr>
        <b/>
        <sz val="12"/>
        <rFont val="Symbol"/>
        <family val="1"/>
        <charset val="2"/>
      </rPr>
      <t>m</t>
    </r>
    <r>
      <rPr>
        <b/>
        <sz val="12"/>
        <rFont val="Arial"/>
        <family val="2"/>
      </rPr>
      <t>)</t>
    </r>
  </si>
  <si>
    <r>
      <t>Sample Standard Deviation (</t>
    </r>
    <r>
      <rPr>
        <b/>
        <sz val="12"/>
        <color rgb="FF3333FF"/>
        <rFont val="Arial"/>
        <family val="2"/>
      </rPr>
      <t>s</t>
    </r>
    <r>
      <rPr>
        <sz val="12"/>
        <rFont val="Arial"/>
        <family val="2"/>
      </rPr>
      <t>)</t>
    </r>
  </si>
  <si>
    <r>
      <t>Sample Mean (</t>
    </r>
    <r>
      <rPr>
        <b/>
        <sz val="12"/>
        <color rgb="FF3333FF"/>
        <rFont val="Arial"/>
        <family val="2"/>
      </rPr>
      <t xml:space="preserve">  </t>
    </r>
    <r>
      <rPr>
        <sz val="12"/>
        <rFont val="Arial"/>
        <family val="2"/>
      </rPr>
      <t>)</t>
    </r>
  </si>
  <si>
    <r>
      <t>Sample Size (</t>
    </r>
    <r>
      <rPr>
        <b/>
        <sz val="12"/>
        <color rgb="FF3333FF"/>
        <rFont val="Arial"/>
        <family val="2"/>
      </rPr>
      <t>n</t>
    </r>
    <r>
      <rPr>
        <sz val="12"/>
        <rFont val="Arial"/>
        <family val="2"/>
      </rPr>
      <t>)</t>
    </r>
  </si>
  <si>
    <r>
      <t>Degrees of Freedom (</t>
    </r>
    <r>
      <rPr>
        <b/>
        <sz val="12"/>
        <color rgb="FF3333FF"/>
        <rFont val="Arial"/>
        <family val="2"/>
      </rPr>
      <t>df = n-1</t>
    </r>
    <r>
      <rPr>
        <sz val="12"/>
        <rFont val="Arial"/>
        <family val="2"/>
      </rPr>
      <t>)</t>
    </r>
  </si>
  <si>
    <r>
      <t>t</t>
    </r>
    <r>
      <rPr>
        <sz val="12"/>
        <rFont val="Arial"/>
        <family val="2"/>
      </rPr>
      <t xml:space="preserve">  Value</t>
    </r>
  </si>
  <si>
    <r>
      <t xml:space="preserve">Sampling Error/Margin of Error </t>
    </r>
    <r>
      <rPr>
        <sz val="12"/>
        <color rgb="FF0000FF"/>
        <rFont val="Arial"/>
        <family val="2"/>
      </rPr>
      <t>(</t>
    </r>
    <r>
      <rPr>
        <b/>
        <sz val="12"/>
        <color rgb="FF0000FF"/>
        <rFont val="Arial"/>
        <family val="2"/>
      </rPr>
      <t>= SE * t Value</t>
    </r>
    <r>
      <rPr>
        <sz val="12"/>
        <color rgb="FF0000FF"/>
        <rFont val="Arial"/>
        <family val="2"/>
      </rPr>
      <t>)</t>
    </r>
  </si>
  <si>
    <r>
      <t>Interval Lower Limit (</t>
    </r>
    <r>
      <rPr>
        <sz val="12"/>
        <color rgb="FF0000FF"/>
        <rFont val="Arial"/>
        <family val="2"/>
      </rPr>
      <t>= Sample Mean - ME</t>
    </r>
    <r>
      <rPr>
        <sz val="12"/>
        <rFont val="Arial"/>
        <family val="2"/>
      </rPr>
      <t>)</t>
    </r>
  </si>
  <si>
    <r>
      <t>Interval Upper Limit (</t>
    </r>
    <r>
      <rPr>
        <sz val="12"/>
        <color rgb="FF0000FF"/>
        <rFont val="Arial"/>
        <family val="2"/>
      </rPr>
      <t>= Sample Mean + ME</t>
    </r>
    <r>
      <rPr>
        <sz val="12"/>
        <rFont val="Arial"/>
        <family val="2"/>
      </rPr>
      <t>)</t>
    </r>
  </si>
  <si>
    <t>Descriptive-Statistics</t>
  </si>
  <si>
    <t>Customer Shopping Habits</t>
  </si>
  <si>
    <t>Proportion of Customers</t>
  </si>
  <si>
    <t>Customer Shopping "Always" and "Often"</t>
  </si>
  <si>
    <r>
      <rPr>
        <sz val="16"/>
        <color theme="1"/>
        <rFont val="Helvetica"/>
        <family val="2"/>
      </rPr>
      <t xml:space="preserve">Estimate the Proportion Of customers Who Shop </t>
    </r>
    <r>
      <rPr>
        <i/>
        <sz val="16"/>
        <color theme="1"/>
        <rFont val="Helvetica"/>
        <family val="2"/>
      </rPr>
      <t>Often or Always</t>
    </r>
  </si>
  <si>
    <t>Bins Lable</t>
  </si>
  <si>
    <t>Count of customers using Disk</t>
  </si>
  <si>
    <t>Customer Discount Usage and Spending Proportions</t>
  </si>
  <si>
    <t>Disk_Usage categories</t>
  </si>
  <si>
    <t xml:space="preserve">Proportion Of customer </t>
  </si>
  <si>
    <t>30% of customers Frequently use discounts</t>
  </si>
  <si>
    <t>Discount Usage Comparison For less than 30% of customers Frequently use discount</t>
  </si>
  <si>
    <t>sample size</t>
  </si>
  <si>
    <t>count of online frequency(Always)</t>
  </si>
  <si>
    <t>Calculating the Required Sample Size for Online Shopping Frequency</t>
  </si>
  <si>
    <t>Assessing Customer Spending in Relation to Market Expectations</t>
  </si>
  <si>
    <t>The AgeGroup Column sorts customers age  by how much they use discounts, making it easier to understand their buying habits and create better strategies for different customer type</t>
  </si>
  <si>
    <t>Polygon for customer distirbution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</si>
</sst>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00"/>
    <numFmt numFmtId="171" formatCode="0.0"/>
  </numFmts>
  <fonts count="69">
    <font>
      <sz val="11"/>
      <color theme="1"/>
      <name val="Calibri"/>
      <family val="2"/>
      <scheme val="minor"/>
    </font>
    <font>
      <sz val="12"/>
      <color theme="1"/>
      <name val="Calibri"/>
      <family val="2"/>
      <scheme val="minor"/>
    </font>
    <font>
      <b/>
      <sz val="11"/>
      <color theme="1"/>
      <name val="Calibri"/>
      <family val="2"/>
      <scheme val="minor"/>
    </font>
    <font>
      <sz val="11"/>
      <color theme="1"/>
      <name val="Calibri"/>
      <family val="2"/>
      <scheme val="minor"/>
    </font>
    <font>
      <sz val="10"/>
      <name val="Arial"/>
      <family val="2"/>
    </font>
    <font>
      <b/>
      <sz val="10"/>
      <color rgb="FFFF0000"/>
      <name val="Arial"/>
      <family val="2"/>
    </font>
    <font>
      <sz val="11"/>
      <name val="Arial"/>
      <family val="2"/>
    </font>
    <font>
      <b/>
      <sz val="11"/>
      <color rgb="FFFF0000"/>
      <name val="Symbol"/>
      <family val="1"/>
      <charset val="2"/>
    </font>
    <font>
      <b/>
      <sz val="11"/>
      <name val="Calibri"/>
      <family val="2"/>
      <scheme val="minor"/>
    </font>
    <font>
      <sz val="11"/>
      <name val="Symbol"/>
      <family val="1"/>
      <charset val="2"/>
    </font>
    <font>
      <b/>
      <sz val="10"/>
      <name val="Arial"/>
      <family val="2"/>
    </font>
    <font>
      <b/>
      <sz val="10"/>
      <name val="Symbol"/>
      <family val="1"/>
      <charset val="2"/>
    </font>
    <font>
      <b/>
      <sz val="10"/>
      <color rgb="FF3333FF"/>
      <name val="Symbol"/>
      <family val="1"/>
      <charset val="2"/>
    </font>
    <font>
      <b/>
      <sz val="10"/>
      <color rgb="FF3333FF"/>
      <name val="Arial"/>
      <family val="2"/>
    </font>
    <font>
      <i/>
      <sz val="10"/>
      <name val="Arial"/>
      <family val="2"/>
    </font>
    <font>
      <sz val="10"/>
      <color rgb="FF0000FF"/>
      <name val="Arial"/>
      <family val="2"/>
    </font>
    <font>
      <b/>
      <sz val="10"/>
      <color rgb="FF0000FF"/>
      <name val="Arial"/>
      <family val="2"/>
    </font>
    <font>
      <sz val="11"/>
      <name val="Calibri"/>
      <family val="2"/>
      <scheme val="minor"/>
    </font>
    <font>
      <i/>
      <sz val="11"/>
      <name val="Calibri"/>
      <family val="2"/>
      <scheme val="minor"/>
    </font>
    <font>
      <sz val="10"/>
      <name val="Calibri"/>
      <family val="2"/>
    </font>
    <font>
      <b/>
      <sz val="10"/>
      <name val="Calibri"/>
      <family val="2"/>
    </font>
    <font>
      <b/>
      <sz val="11"/>
      <color rgb="FFFF0000"/>
      <name val="Calibri"/>
      <family val="2"/>
      <scheme val="minor"/>
    </font>
    <font>
      <b/>
      <sz val="11"/>
      <color theme="1"/>
      <name val="Calibri"/>
      <family val="2"/>
    </font>
    <font>
      <b/>
      <sz val="11"/>
      <color theme="1"/>
      <name val="Symbol"/>
      <family val="1"/>
      <charset val="2"/>
    </font>
    <font>
      <b/>
      <sz val="11"/>
      <color theme="1"/>
      <name val="Calibri"/>
      <family val="1"/>
      <charset val="2"/>
    </font>
    <font>
      <sz val="11"/>
      <color rgb="FF000000"/>
      <name val="Calibri"/>
      <family val="2"/>
    </font>
    <font>
      <b/>
      <sz val="11"/>
      <color rgb="FF3333FF"/>
      <name val="Calibri"/>
      <family val="2"/>
      <scheme val="minor"/>
    </font>
    <font>
      <b/>
      <sz val="11"/>
      <color rgb="FF3333FF"/>
      <name val="Symbol"/>
      <family val="1"/>
      <charset val="2"/>
    </font>
    <font>
      <sz val="11"/>
      <name val="Calibri"/>
      <family val="2"/>
    </font>
    <font>
      <b/>
      <sz val="11"/>
      <color rgb="FF3333FF"/>
      <name val="Calibri"/>
      <family val="2"/>
    </font>
    <font>
      <b/>
      <sz val="12"/>
      <color theme="1"/>
      <name val="Calibri"/>
      <family val="2"/>
      <scheme val="minor"/>
    </font>
    <font>
      <sz val="16"/>
      <color theme="1"/>
      <name val="Calibri"/>
      <family val="2"/>
      <scheme val="minor"/>
    </font>
    <font>
      <sz val="14"/>
      <color theme="1"/>
      <name val="Calibri"/>
      <family val="2"/>
      <scheme val="minor"/>
    </font>
    <font>
      <b/>
      <sz val="14"/>
      <color theme="1"/>
      <name val="Calibri"/>
      <family val="2"/>
      <scheme val="minor"/>
    </font>
    <font>
      <sz val="18"/>
      <color theme="1"/>
      <name val="Calibri"/>
      <family val="2"/>
      <scheme val="minor"/>
    </font>
    <font>
      <b/>
      <sz val="11"/>
      <color theme="0"/>
      <name val="Calibri"/>
      <family val="2"/>
      <scheme val="minor"/>
    </font>
    <font>
      <sz val="10"/>
      <color theme="1"/>
      <name val="Arial Unicode MS"/>
      <family val="2"/>
    </font>
    <font>
      <i/>
      <sz val="11"/>
      <color theme="1"/>
      <name val="Calibri"/>
      <family val="2"/>
      <scheme val="minor"/>
    </font>
    <font>
      <b/>
      <sz val="22"/>
      <color theme="1"/>
      <name val="Calibri"/>
      <family val="2"/>
      <scheme val="minor"/>
    </font>
    <font>
      <sz val="20"/>
      <color theme="1"/>
      <name val="Calibri"/>
      <family val="2"/>
      <scheme val="minor"/>
    </font>
    <font>
      <b/>
      <sz val="14"/>
      <color theme="0"/>
      <name val="Calibri"/>
      <family val="2"/>
      <scheme val="minor"/>
    </font>
    <font>
      <sz val="14"/>
      <color theme="0"/>
      <name val="Calibri"/>
      <family val="2"/>
      <scheme val="minor"/>
    </font>
    <font>
      <sz val="14"/>
      <color theme="1" tint="4.9989318521683403E-2"/>
      <name val="Calibri"/>
      <family val="2"/>
      <scheme val="minor"/>
    </font>
    <font>
      <i/>
      <sz val="16"/>
      <color theme="1"/>
      <name val="Calibri"/>
      <family val="2"/>
      <scheme val="minor"/>
    </font>
    <font>
      <i/>
      <sz val="18"/>
      <color theme="1"/>
      <name val="Calibri"/>
      <family val="2"/>
      <scheme val="minor"/>
    </font>
    <font>
      <i/>
      <sz val="20"/>
      <color theme="1"/>
      <name val="Calibri"/>
      <family val="2"/>
      <scheme val="minor"/>
    </font>
    <font>
      <i/>
      <sz val="20"/>
      <color theme="1"/>
      <name val="Calibri (Body)"/>
    </font>
    <font>
      <b/>
      <i/>
      <sz val="22"/>
      <color theme="1"/>
      <name val="Calibri"/>
      <family val="2"/>
      <scheme val="minor"/>
    </font>
    <font>
      <b/>
      <shadow/>
      <sz val="16"/>
      <color rgb="FFF2F2F2"/>
      <name val="Calibri"/>
      <family val="2"/>
      <scheme val="minor"/>
    </font>
    <font>
      <b/>
      <sz val="9"/>
      <color rgb="FFD9D9D9"/>
      <name val="Calibri"/>
      <family val="2"/>
      <scheme val="minor"/>
    </font>
    <font>
      <sz val="12"/>
      <color theme="1"/>
      <name val="Arial Unicode MS"/>
      <family val="2"/>
    </font>
    <font>
      <i/>
      <sz val="12"/>
      <color theme="1"/>
      <name val="Calibri"/>
      <family val="2"/>
      <scheme val="minor"/>
    </font>
    <font>
      <b/>
      <i/>
      <shadow/>
      <sz val="16"/>
      <color rgb="FF00B050"/>
      <name val="Calibri"/>
      <family val="2"/>
      <scheme val="minor"/>
    </font>
    <font>
      <b/>
      <sz val="12"/>
      <color rgb="FFFF0000"/>
      <name val="Arial"/>
      <family val="2"/>
    </font>
    <font>
      <sz val="12"/>
      <name val="Arial"/>
      <family val="2"/>
    </font>
    <font>
      <b/>
      <sz val="12"/>
      <color rgb="FFFF0000"/>
      <name val="Symbol"/>
      <family val="1"/>
      <charset val="2"/>
    </font>
    <font>
      <sz val="12"/>
      <name val="Symbol"/>
      <family val="1"/>
      <charset val="2"/>
    </font>
    <font>
      <b/>
      <sz val="12"/>
      <name val="Calibri"/>
      <family val="2"/>
      <scheme val="minor"/>
    </font>
    <font>
      <b/>
      <sz val="12"/>
      <name val="Arial"/>
      <family val="2"/>
    </font>
    <font>
      <b/>
      <sz val="12"/>
      <name val="Symbol"/>
      <family val="1"/>
      <charset val="2"/>
    </font>
    <font>
      <b/>
      <sz val="12"/>
      <color rgb="FF3333FF"/>
      <name val="Arial"/>
      <family val="2"/>
    </font>
    <font>
      <i/>
      <sz val="12"/>
      <name val="Arial"/>
      <family val="2"/>
    </font>
    <font>
      <sz val="12"/>
      <color rgb="FF0000FF"/>
      <name val="Arial"/>
      <family val="2"/>
    </font>
    <font>
      <b/>
      <sz val="12"/>
      <color rgb="FF0000FF"/>
      <name val="Arial"/>
      <family val="2"/>
    </font>
    <font>
      <i/>
      <sz val="11"/>
      <color theme="1"/>
      <name val="Helvetica"/>
      <family val="2"/>
    </font>
    <font>
      <i/>
      <sz val="16"/>
      <color theme="1"/>
      <name val="Helvetica"/>
      <family val="2"/>
    </font>
    <font>
      <sz val="16"/>
      <color theme="1"/>
      <name val="Helvetica"/>
      <family val="2"/>
    </font>
    <font>
      <sz val="8"/>
      <name val="Calibri"/>
      <family val="2"/>
      <scheme val="minor"/>
    </font>
    <font>
      <b/>
      <sz val="16"/>
      <color theme="1"/>
      <name val="Times New Roman"/>
      <family val="1"/>
    </font>
  </fonts>
  <fills count="26">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rgb="FF92D05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9" tint="-0.249977111117893"/>
        <bgColor indexed="64"/>
      </patternFill>
    </fill>
    <fill>
      <patternFill patternType="solid">
        <fgColor theme="0" tint="-0.14999847407452621"/>
        <bgColor theme="0" tint="-0.14999847407452621"/>
      </patternFill>
    </fill>
    <fill>
      <patternFill patternType="solid">
        <fgColor theme="9" tint="-0.249977111117893"/>
        <bgColor theme="9" tint="0.59999389629810485"/>
      </patternFill>
    </fill>
    <fill>
      <patternFill patternType="solid">
        <fgColor theme="9" tint="-0.249977111117893"/>
        <bgColor theme="9" tint="-0.499984740745262"/>
      </patternFill>
    </fill>
    <fill>
      <patternFill patternType="solid">
        <fgColor theme="1"/>
        <bgColor theme="9" tint="-0.499984740745262"/>
      </patternFill>
    </fill>
    <fill>
      <patternFill patternType="solid">
        <fgColor theme="9"/>
        <bgColor theme="9" tint="0.59999389629810485"/>
      </patternFill>
    </fill>
    <fill>
      <patternFill patternType="solid">
        <fgColor theme="0"/>
        <bgColor theme="4" tint="0.59999389629810485"/>
      </patternFill>
    </fill>
    <fill>
      <patternFill patternType="solid">
        <fgColor theme="7" tint="0.39997558519241921"/>
        <bgColor indexed="64"/>
      </patternFill>
    </fill>
    <fill>
      <patternFill patternType="solid">
        <fgColor theme="0"/>
        <bgColor theme="4" tint="0.79998168889431442"/>
      </patternFill>
    </fill>
    <fill>
      <patternFill patternType="solid">
        <fgColor theme="8" tint="0.39997558519241921"/>
        <bgColor theme="4" tint="0.59999389629810485"/>
      </patternFill>
    </fill>
    <fill>
      <patternFill patternType="solid">
        <fgColor theme="8" tint="0.39997558519241921"/>
        <bgColor indexed="64"/>
      </patternFill>
    </fill>
    <fill>
      <patternFill patternType="solid">
        <fgColor theme="8" tint="-0.249977111117893"/>
        <bgColor theme="4"/>
      </patternFill>
    </fill>
    <fill>
      <patternFill patternType="solid">
        <fgColor theme="6" tint="-0.249977111117893"/>
        <bgColor indexed="64"/>
      </patternFill>
    </fill>
    <fill>
      <patternFill patternType="solid">
        <fgColor theme="5" tint="0.39997558519241921"/>
        <bgColor indexed="64"/>
      </patternFill>
    </fill>
    <fill>
      <patternFill patternType="solid">
        <fgColor theme="4" tint="0.39997558519241921"/>
        <bgColor indexed="64"/>
      </patternFill>
    </fill>
  </fills>
  <borders count="34">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right/>
      <top/>
      <bottom style="medium">
        <color indexed="64"/>
      </bottom>
      <diagonal/>
    </border>
    <border>
      <left/>
      <right style="thin">
        <color theme="0"/>
      </right>
      <top style="thin">
        <color theme="0"/>
      </top>
      <bottom style="thin">
        <color theme="0"/>
      </bottom>
      <diagonal/>
    </border>
    <border>
      <left/>
      <right style="thin">
        <color theme="0"/>
      </right>
      <top style="thin">
        <color theme="0"/>
      </top>
      <bottom/>
      <diagonal/>
    </border>
    <border>
      <left style="thin">
        <color theme="0"/>
      </left>
      <right/>
      <top/>
      <bottom style="thick">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medium">
        <color indexed="64"/>
      </top>
      <bottom/>
      <diagonal/>
    </border>
    <border>
      <left/>
      <right/>
      <top/>
      <bottom style="thin">
        <color theme="9" tint="-0.499984740745262"/>
      </bottom>
      <diagonal/>
    </border>
    <border>
      <left/>
      <right/>
      <top style="thin">
        <color theme="9" tint="0.79998168889431442"/>
      </top>
      <bottom style="thin">
        <color theme="9" tint="0.79998168889431442"/>
      </bottom>
      <diagonal/>
    </border>
    <border>
      <left/>
      <right/>
      <top style="thin">
        <color theme="9" tint="0.79998168889431442"/>
      </top>
      <bottom/>
      <diagonal/>
    </border>
    <border>
      <left/>
      <right/>
      <top/>
      <bottom style="thin">
        <color theme="9"/>
      </bottom>
      <diagonal/>
    </border>
  </borders>
  <cellStyleXfs count="8">
    <xf numFmtId="0" fontId="0" fillId="0" borderId="0"/>
    <xf numFmtId="0" fontId="4" fillId="0" borderId="0"/>
    <xf numFmtId="0" fontId="3"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9" fontId="4" fillId="0" borderId="0" applyFont="0" applyFill="0" applyBorder="0" applyAlignment="0" applyProtection="0"/>
    <xf numFmtId="9" fontId="3" fillId="0" borderId="0" applyFont="0" applyFill="0" applyBorder="0" applyAlignment="0" applyProtection="0"/>
  </cellStyleXfs>
  <cellXfs count="301">
    <xf numFmtId="0" fontId="0" fillId="0" borderId="0" xfId="0"/>
    <xf numFmtId="0" fontId="2" fillId="0" borderId="1" xfId="0" applyFont="1" applyBorder="1" applyAlignment="1">
      <alignment horizontal="center" vertical="top"/>
    </xf>
    <xf numFmtId="0" fontId="2" fillId="2" borderId="1" xfId="0" applyFont="1" applyFill="1" applyBorder="1" applyAlignment="1">
      <alignment horizontal="center" vertical="top"/>
    </xf>
    <xf numFmtId="0" fontId="5" fillId="3" borderId="0" xfId="1" applyFont="1" applyFill="1"/>
    <xf numFmtId="0" fontId="4" fillId="0" borderId="0" xfId="1"/>
    <xf numFmtId="0" fontId="3" fillId="0" borderId="0" xfId="2"/>
    <xf numFmtId="0" fontId="6" fillId="3" borderId="0" xfId="1" applyFont="1" applyFill="1"/>
    <xf numFmtId="0" fontId="10" fillId="0" borderId="6" xfId="1" applyFont="1" applyBorder="1" applyAlignment="1">
      <alignment horizontal="center"/>
    </xf>
    <xf numFmtId="0" fontId="10" fillId="0" borderId="7" xfId="1" applyFont="1" applyBorder="1" applyAlignment="1">
      <alignment horizontal="center"/>
    </xf>
    <xf numFmtId="0" fontId="3" fillId="0" borderId="8" xfId="2" applyBorder="1" applyAlignment="1">
      <alignment horizontal="center"/>
    </xf>
    <xf numFmtId="0" fontId="3" fillId="0" borderId="9" xfId="2" applyBorder="1" applyAlignment="1">
      <alignment horizontal="center"/>
    </xf>
    <xf numFmtId="0" fontId="10" fillId="4" borderId="10" xfId="1" applyFont="1" applyFill="1" applyBorder="1" applyAlignment="1">
      <alignment horizontal="center"/>
    </xf>
    <xf numFmtId="0" fontId="10" fillId="4" borderId="11" xfId="1" applyFont="1" applyFill="1" applyBorder="1" applyAlignment="1">
      <alignment horizontal="center"/>
    </xf>
    <xf numFmtId="0" fontId="4" fillId="0" borderId="8" xfId="1" applyBorder="1"/>
    <xf numFmtId="0" fontId="10" fillId="5" borderId="9" xfId="1" applyFont="1" applyFill="1" applyBorder="1" applyProtection="1">
      <protection locked="0"/>
    </xf>
    <xf numFmtId="0" fontId="10" fillId="5" borderId="9" xfId="2" applyFont="1" applyFill="1" applyBorder="1" applyProtection="1">
      <protection locked="0"/>
    </xf>
    <xf numFmtId="9" fontId="10" fillId="5" borderId="9" xfId="3" applyFont="1" applyFill="1" applyBorder="1"/>
    <xf numFmtId="9" fontId="10" fillId="5" borderId="9" xfId="4" applyFont="1" applyFill="1" applyBorder="1" applyProtection="1">
      <protection locked="0"/>
    </xf>
    <xf numFmtId="0" fontId="3" fillId="0" borderId="8" xfId="2" applyBorder="1"/>
    <xf numFmtId="9" fontId="4" fillId="0" borderId="9" xfId="3" applyFont="1" applyFill="1" applyBorder="1"/>
    <xf numFmtId="0" fontId="10" fillId="0" borderId="6" xfId="1" applyFont="1" applyBorder="1"/>
    <xf numFmtId="9" fontId="10" fillId="0" borderId="7" xfId="4" applyFont="1" applyFill="1" applyBorder="1" applyProtection="1">
      <protection locked="0"/>
    </xf>
    <xf numFmtId="0" fontId="3" fillId="0" borderId="9" xfId="2" applyBorder="1"/>
    <xf numFmtId="0" fontId="10" fillId="4" borderId="8" xfId="2" applyFont="1" applyFill="1" applyBorder="1" applyAlignment="1">
      <alignment horizontal="center"/>
    </xf>
    <xf numFmtId="0" fontId="10" fillId="4" borderId="9" xfId="2" applyFont="1" applyFill="1" applyBorder="1" applyAlignment="1">
      <alignment horizontal="center"/>
    </xf>
    <xf numFmtId="164" fontId="4" fillId="0" borderId="9" xfId="1" applyNumberFormat="1" applyBorder="1"/>
    <xf numFmtId="0" fontId="4" fillId="0" borderId="9" xfId="1" applyBorder="1"/>
    <xf numFmtId="164" fontId="3" fillId="0" borderId="9" xfId="2" applyNumberFormat="1" applyBorder="1"/>
    <xf numFmtId="0" fontId="14" fillId="0" borderId="8" xfId="1" applyFont="1" applyBorder="1"/>
    <xf numFmtId="0" fontId="4" fillId="0" borderId="12" xfId="1" applyBorder="1"/>
    <xf numFmtId="0" fontId="4" fillId="0" borderId="13" xfId="1" applyBorder="1"/>
    <xf numFmtId="2" fontId="10" fillId="6" borderId="9" xfId="1" applyNumberFormat="1" applyFont="1" applyFill="1" applyBorder="1"/>
    <xf numFmtId="0" fontId="4" fillId="0" borderId="14" xfId="1" applyBorder="1"/>
    <xf numFmtId="2" fontId="10" fillId="6" borderId="15" xfId="1" applyNumberFormat="1" applyFont="1" applyFill="1" applyBorder="1"/>
    <xf numFmtId="10" fontId="10" fillId="6" borderId="9" xfId="3" applyNumberFormat="1" applyFont="1" applyFill="1" applyBorder="1"/>
    <xf numFmtId="10" fontId="10" fillId="6" borderId="15" xfId="3" applyNumberFormat="1" applyFont="1" applyFill="1" applyBorder="1"/>
    <xf numFmtId="0" fontId="10" fillId="0" borderId="0" xfId="2" applyFont="1"/>
    <xf numFmtId="164" fontId="3" fillId="6" borderId="11" xfId="2" applyNumberFormat="1" applyFill="1" applyBorder="1"/>
    <xf numFmtId="0" fontId="17" fillId="0" borderId="19" xfId="5" applyFont="1" applyBorder="1" applyAlignment="1">
      <alignment horizontal="left"/>
    </xf>
    <xf numFmtId="0" fontId="17" fillId="0" borderId="10" xfId="5" applyFont="1" applyBorder="1" applyAlignment="1">
      <alignment horizontal="left"/>
    </xf>
    <xf numFmtId="164" fontId="17" fillId="0" borderId="11" xfId="5" applyNumberFormat="1" applyFont="1" applyBorder="1"/>
    <xf numFmtId="164" fontId="3" fillId="0" borderId="11" xfId="2" applyNumberFormat="1" applyBorder="1"/>
    <xf numFmtId="10" fontId="10" fillId="0" borderId="9" xfId="3" applyNumberFormat="1" applyFont="1" applyFill="1" applyBorder="1"/>
    <xf numFmtId="0" fontId="8" fillId="7" borderId="9" xfId="5" applyFont="1" applyFill="1" applyBorder="1" applyProtection="1">
      <protection locked="0"/>
    </xf>
    <xf numFmtId="164" fontId="17" fillId="0" borderId="13" xfId="5" applyNumberFormat="1" applyFont="1" applyBorder="1"/>
    <xf numFmtId="0" fontId="17" fillId="7" borderId="13" xfId="5" applyFont="1" applyFill="1" applyBorder="1" applyAlignment="1">
      <alignment horizontal="center"/>
    </xf>
    <xf numFmtId="0" fontId="17" fillId="0" borderId="1" xfId="5" applyFont="1" applyBorder="1" applyAlignment="1">
      <alignment horizontal="left"/>
    </xf>
    <xf numFmtId="164" fontId="3" fillId="6" borderId="13" xfId="2" applyNumberFormat="1" applyFill="1" applyBorder="1"/>
    <xf numFmtId="0" fontId="3" fillId="0" borderId="11" xfId="2" applyBorder="1"/>
    <xf numFmtId="2" fontId="10" fillId="5" borderId="9" xfId="2" applyNumberFormat="1" applyFont="1" applyFill="1" applyBorder="1" applyProtection="1">
      <protection locked="0"/>
    </xf>
    <xf numFmtId="0" fontId="19" fillId="0" borderId="1" xfId="2" applyFont="1" applyBorder="1" applyAlignment="1">
      <alignment horizontal="center"/>
    </xf>
    <xf numFmtId="0" fontId="3" fillId="0" borderId="6" xfId="2" applyBorder="1"/>
    <xf numFmtId="2" fontId="8" fillId="7" borderId="9" xfId="5" applyNumberFormat="1" applyFont="1" applyFill="1" applyBorder="1" applyProtection="1">
      <protection locked="0"/>
    </xf>
    <xf numFmtId="0" fontId="17" fillId="0" borderId="1" xfId="5" applyFont="1" applyBorder="1" applyAlignment="1">
      <alignment horizontal="center"/>
    </xf>
    <xf numFmtId="0" fontId="17" fillId="0" borderId="0" xfId="5" applyFont="1"/>
    <xf numFmtId="0" fontId="17" fillId="0" borderId="6" xfId="5" applyFont="1" applyBorder="1"/>
    <xf numFmtId="0" fontId="3" fillId="6" borderId="1" xfId="2" applyFill="1" applyBorder="1" applyAlignment="1">
      <alignment horizontal="right"/>
    </xf>
    <xf numFmtId="0" fontId="3" fillId="0" borderId="19" xfId="2" applyBorder="1"/>
    <xf numFmtId="0" fontId="3" fillId="0" borderId="10" xfId="2" applyBorder="1"/>
    <xf numFmtId="0" fontId="17" fillId="6" borderId="9" xfId="5" applyFont="1" applyFill="1" applyBorder="1" applyAlignment="1">
      <alignment horizontal="center"/>
    </xf>
    <xf numFmtId="0" fontId="17" fillId="0" borderId="19" xfId="5" applyFont="1" applyBorder="1"/>
    <xf numFmtId="0" fontId="17" fillId="0" borderId="10" xfId="5" applyFont="1" applyBorder="1"/>
    <xf numFmtId="0" fontId="3" fillId="6" borderId="9" xfId="2" applyFill="1" applyBorder="1" applyAlignment="1">
      <alignment horizontal="right"/>
    </xf>
    <xf numFmtId="0" fontId="3" fillId="5" borderId="1" xfId="2" applyFill="1" applyBorder="1" applyAlignment="1">
      <alignment horizontal="center"/>
    </xf>
    <xf numFmtId="0" fontId="3" fillId="0" borderId="1" xfId="2" applyBorder="1" applyAlignment="1">
      <alignment horizontal="center"/>
    </xf>
    <xf numFmtId="0" fontId="8" fillId="7" borderId="9" xfId="5" applyFont="1" applyFill="1" applyBorder="1" applyAlignment="1" applyProtection="1">
      <alignment horizontal="center"/>
      <protection locked="0"/>
    </xf>
    <xf numFmtId="0" fontId="17" fillId="7" borderId="1" xfId="5" applyFont="1" applyFill="1" applyBorder="1" applyAlignment="1">
      <alignment horizontal="center"/>
    </xf>
    <xf numFmtId="0" fontId="17" fillId="0" borderId="8" xfId="5" applyFont="1" applyBorder="1"/>
    <xf numFmtId="0" fontId="3" fillId="0" borderId="0" xfId="2" quotePrefix="1"/>
    <xf numFmtId="0" fontId="19" fillId="0" borderId="0" xfId="2" applyFont="1"/>
    <xf numFmtId="9" fontId="10" fillId="0" borderId="9" xfId="3" applyFont="1" applyFill="1" applyBorder="1"/>
    <xf numFmtId="0" fontId="17" fillId="0" borderId="9" xfId="5" applyFont="1" applyBorder="1" applyAlignment="1" applyProtection="1">
      <alignment horizontal="center"/>
      <protection locked="0"/>
    </xf>
    <xf numFmtId="0" fontId="10" fillId="0" borderId="9" xfId="2" applyFont="1" applyBorder="1" applyProtection="1">
      <protection locked="0"/>
    </xf>
    <xf numFmtId="1" fontId="8" fillId="6" borderId="15" xfId="5" applyNumberFormat="1" applyFont="1" applyFill="1" applyBorder="1" applyAlignment="1">
      <alignment horizontal="center"/>
    </xf>
    <xf numFmtId="0" fontId="8" fillId="8" borderId="14" xfId="5" applyFont="1" applyFill="1" applyBorder="1"/>
    <xf numFmtId="0" fontId="17" fillId="0" borderId="13" xfId="5" applyFont="1" applyBorder="1"/>
    <xf numFmtId="0" fontId="17" fillId="0" borderId="12" xfId="5" applyFont="1" applyBorder="1"/>
    <xf numFmtId="164" fontId="17" fillId="0" borderId="9" xfId="5" applyNumberFormat="1" applyFont="1" applyBorder="1"/>
    <xf numFmtId="0" fontId="25" fillId="0" borderId="9" xfId="1" applyFont="1" applyBorder="1"/>
    <xf numFmtId="9" fontId="8" fillId="0" borderId="7" xfId="6" applyFont="1" applyFill="1" applyBorder="1" applyProtection="1">
      <protection locked="0"/>
    </xf>
    <xf numFmtId="0" fontId="8" fillId="0" borderId="6" xfId="5" applyFont="1" applyBorder="1"/>
    <xf numFmtId="9" fontId="8" fillId="5" borderId="9" xfId="6" applyFont="1" applyFill="1" applyBorder="1" applyAlignment="1" applyProtection="1">
      <alignment horizontal="center"/>
      <protection locked="0"/>
    </xf>
    <xf numFmtId="0" fontId="8" fillId="5" borderId="9" xfId="5" applyFont="1" applyFill="1" applyBorder="1" applyAlignment="1" applyProtection="1">
      <alignment horizontal="center"/>
      <protection locked="0"/>
    </xf>
    <xf numFmtId="165" fontId="8" fillId="5" borderId="9" xfId="4" applyNumberFormat="1" applyFont="1" applyFill="1" applyBorder="1" applyAlignment="1" applyProtection="1">
      <alignment horizontal="center"/>
      <protection locked="0"/>
    </xf>
    <xf numFmtId="2" fontId="8" fillId="5" borderId="9" xfId="5" applyNumberFormat="1" applyFont="1" applyFill="1" applyBorder="1" applyAlignment="1" applyProtection="1">
      <alignment horizontal="center"/>
      <protection locked="0"/>
    </xf>
    <xf numFmtId="9" fontId="8" fillId="5" borderId="9" xfId="4" applyFont="1" applyFill="1" applyBorder="1" applyAlignment="1" applyProtection="1">
      <alignment horizontal="center"/>
      <protection locked="0"/>
    </xf>
    <xf numFmtId="0" fontId="8" fillId="0" borderId="7" xfId="5" applyFont="1" applyBorder="1" applyAlignment="1">
      <alignment horizontal="center"/>
    </xf>
    <xf numFmtId="0" fontId="8" fillId="0" borderId="6" xfId="5" applyFont="1" applyBorder="1" applyAlignment="1">
      <alignment horizontal="center"/>
    </xf>
    <xf numFmtId="0" fontId="10" fillId="4" borderId="2" xfId="1" applyFont="1" applyFill="1" applyBorder="1" applyAlignment="1">
      <alignment horizontal="center"/>
    </xf>
    <xf numFmtId="0" fontId="10" fillId="4" borderId="3" xfId="1" applyFont="1" applyFill="1" applyBorder="1" applyAlignment="1">
      <alignment horizontal="center"/>
    </xf>
    <xf numFmtId="0" fontId="10" fillId="4" borderId="10" xfId="1" applyFont="1" applyFill="1" applyBorder="1" applyAlignment="1">
      <alignment horizontal="center"/>
    </xf>
    <xf numFmtId="0" fontId="10" fillId="4" borderId="11" xfId="1" applyFont="1" applyFill="1" applyBorder="1" applyAlignment="1">
      <alignment horizontal="center"/>
    </xf>
    <xf numFmtId="0" fontId="5" fillId="3" borderId="0" xfId="1" applyFont="1" applyFill="1" applyAlignment="1">
      <alignment horizontal="center"/>
    </xf>
    <xf numFmtId="0" fontId="10" fillId="4" borderId="2" xfId="1" applyFont="1" applyFill="1" applyBorder="1" applyAlignment="1">
      <alignment horizontal="center"/>
    </xf>
    <xf numFmtId="0" fontId="10" fillId="4" borderId="3" xfId="1" applyFont="1" applyFill="1" applyBorder="1" applyAlignment="1">
      <alignment horizontal="center"/>
    </xf>
    <xf numFmtId="0" fontId="10" fillId="4" borderId="4" xfId="2" applyFont="1" applyFill="1" applyBorder="1" applyAlignment="1">
      <alignment horizontal="center"/>
    </xf>
    <xf numFmtId="0" fontId="10" fillId="4" borderId="5" xfId="2" applyFont="1" applyFill="1" applyBorder="1" applyAlignment="1">
      <alignment horizontal="center"/>
    </xf>
    <xf numFmtId="0" fontId="10" fillId="4" borderId="10" xfId="2" applyFont="1" applyFill="1" applyBorder="1" applyAlignment="1">
      <alignment horizontal="center"/>
    </xf>
    <xf numFmtId="0" fontId="10" fillId="4" borderId="11" xfId="2" applyFont="1" applyFill="1" applyBorder="1" applyAlignment="1">
      <alignment horizontal="center"/>
    </xf>
    <xf numFmtId="0" fontId="3" fillId="0" borderId="10" xfId="2" applyBorder="1" applyAlignment="1">
      <alignment horizontal="left"/>
    </xf>
    <xf numFmtId="0" fontId="3" fillId="0" borderId="19" xfId="2" applyBorder="1" applyAlignment="1">
      <alignment horizontal="left"/>
    </xf>
    <xf numFmtId="0" fontId="3" fillId="0" borderId="20" xfId="2" applyBorder="1" applyAlignment="1">
      <alignment horizontal="left"/>
    </xf>
    <xf numFmtId="0" fontId="3" fillId="6" borderId="18" xfId="2" applyFill="1" applyBorder="1" applyAlignment="1">
      <alignment horizontal="left"/>
    </xf>
    <xf numFmtId="0" fontId="3" fillId="6" borderId="17" xfId="2" applyFill="1" applyBorder="1" applyAlignment="1">
      <alignment horizontal="left"/>
    </xf>
    <xf numFmtId="0" fontId="3" fillId="6" borderId="16" xfId="2" applyFill="1" applyBorder="1" applyAlignment="1">
      <alignment horizontal="left"/>
    </xf>
    <xf numFmtId="0" fontId="17" fillId="0" borderId="10" xfId="5" applyFont="1" applyBorder="1" applyAlignment="1">
      <alignment horizontal="left"/>
    </xf>
    <xf numFmtId="0" fontId="17" fillId="0" borderId="19" xfId="5" applyFont="1" applyBorder="1" applyAlignment="1">
      <alignment horizontal="left"/>
    </xf>
    <xf numFmtId="0" fontId="17" fillId="0" borderId="20" xfId="5" applyFont="1" applyBorder="1" applyAlignment="1">
      <alignment horizontal="left"/>
    </xf>
    <xf numFmtId="0" fontId="3" fillId="0" borderId="10" xfId="2" applyBorder="1" applyAlignment="1">
      <alignment horizontal="center"/>
    </xf>
    <xf numFmtId="0" fontId="3" fillId="0" borderId="19" xfId="2" applyBorder="1" applyAlignment="1">
      <alignment horizontal="center"/>
    </xf>
    <xf numFmtId="0" fontId="3" fillId="0" borderId="11" xfId="2" applyBorder="1" applyAlignment="1">
      <alignment horizontal="center"/>
    </xf>
    <xf numFmtId="0" fontId="17" fillId="0" borderId="10" xfId="5" applyFont="1" applyBorder="1" applyAlignment="1">
      <alignment horizontal="center"/>
    </xf>
    <xf numFmtId="0" fontId="17" fillId="0" borderId="19" xfId="5" applyFont="1" applyBorder="1" applyAlignment="1">
      <alignment horizontal="center"/>
    </xf>
    <xf numFmtId="0" fontId="17" fillId="0" borderId="11" xfId="5" applyFont="1" applyBorder="1" applyAlignment="1">
      <alignment horizontal="center"/>
    </xf>
    <xf numFmtId="0" fontId="10" fillId="4" borderId="19" xfId="2" applyFont="1" applyFill="1" applyBorder="1" applyAlignment="1">
      <alignment horizontal="center"/>
    </xf>
    <xf numFmtId="0" fontId="8" fillId="4" borderId="10" xfId="5" applyFont="1" applyFill="1" applyBorder="1" applyAlignment="1">
      <alignment horizontal="center"/>
    </xf>
    <xf numFmtId="0" fontId="8" fillId="4" borderId="19" xfId="5" applyFont="1" applyFill="1" applyBorder="1" applyAlignment="1">
      <alignment horizontal="center"/>
    </xf>
    <xf numFmtId="0" fontId="8" fillId="4" borderId="11" xfId="5" applyFont="1" applyFill="1" applyBorder="1" applyAlignment="1">
      <alignment horizontal="center"/>
    </xf>
    <xf numFmtId="0" fontId="14" fillId="0" borderId="10" xfId="2" applyFont="1" applyBorder="1" applyAlignment="1">
      <alignment horizontal="left"/>
    </xf>
    <xf numFmtId="0" fontId="14" fillId="0" borderId="19" xfId="2" applyFont="1" applyBorder="1" applyAlignment="1">
      <alignment horizontal="left"/>
    </xf>
    <xf numFmtId="0" fontId="14" fillId="0" borderId="20" xfId="2" applyFont="1" applyBorder="1" applyAlignment="1">
      <alignment horizontal="left"/>
    </xf>
    <xf numFmtId="0" fontId="18" fillId="0" borderId="10" xfId="5" applyFont="1" applyBorder="1" applyAlignment="1">
      <alignment horizontal="left"/>
    </xf>
    <xf numFmtId="0" fontId="18" fillId="0" borderId="19" xfId="5" applyFont="1" applyBorder="1" applyAlignment="1">
      <alignment horizontal="left"/>
    </xf>
    <xf numFmtId="0" fontId="18" fillId="0" borderId="20" xfId="5" applyFont="1" applyBorder="1" applyAlignment="1">
      <alignment horizontal="left"/>
    </xf>
    <xf numFmtId="0" fontId="3" fillId="0" borderId="21" xfId="2" applyBorder="1" applyAlignment="1">
      <alignment horizontal="left"/>
    </xf>
    <xf numFmtId="0" fontId="17" fillId="0" borderId="8" xfId="5" applyFont="1" applyBorder="1" applyAlignment="1">
      <alignment horizontal="left"/>
    </xf>
    <xf numFmtId="0" fontId="17" fillId="0" borderId="1" xfId="5" applyFont="1" applyBorder="1" applyAlignment="1">
      <alignment horizontal="left"/>
    </xf>
    <xf numFmtId="0" fontId="24" fillId="3" borderId="23" xfId="2" applyFont="1" applyFill="1" applyBorder="1" applyAlignment="1">
      <alignment horizontal="center"/>
    </xf>
    <xf numFmtId="0" fontId="22" fillId="3" borderId="23" xfId="2" applyFont="1" applyFill="1" applyBorder="1" applyAlignment="1">
      <alignment horizontal="center"/>
    </xf>
    <xf numFmtId="0" fontId="8" fillId="0" borderId="10" xfId="5" applyFont="1" applyBorder="1" applyAlignment="1">
      <alignment horizontal="center"/>
    </xf>
    <xf numFmtId="0" fontId="8" fillId="0" borderId="19" xfId="5" applyFont="1" applyBorder="1" applyAlignment="1">
      <alignment horizontal="center"/>
    </xf>
    <xf numFmtId="0" fontId="8" fillId="0" borderId="11" xfId="5" applyFont="1" applyBorder="1" applyAlignment="1">
      <alignment horizontal="center"/>
    </xf>
    <xf numFmtId="0" fontId="10" fillId="0" borderId="10" xfId="2" applyFont="1" applyBorder="1" applyAlignment="1">
      <alignment horizontal="center"/>
    </xf>
    <xf numFmtId="0" fontId="10" fillId="0" borderId="19" xfId="2" applyFont="1" applyBorder="1" applyAlignment="1">
      <alignment horizontal="center"/>
    </xf>
    <xf numFmtId="0" fontId="10" fillId="0" borderId="11" xfId="2" applyFont="1" applyBorder="1" applyAlignment="1">
      <alignment horizontal="center"/>
    </xf>
    <xf numFmtId="0" fontId="21" fillId="3" borderId="23" xfId="2" applyFont="1" applyFill="1" applyBorder="1" applyAlignment="1">
      <alignment horizontal="center"/>
    </xf>
    <xf numFmtId="0" fontId="8" fillId="4" borderId="2" xfId="5" applyFont="1" applyFill="1" applyBorder="1" applyAlignment="1">
      <alignment horizontal="center"/>
    </xf>
    <xf numFmtId="0" fontId="8" fillId="4" borderId="22" xfId="5" applyFont="1" applyFill="1" applyBorder="1" applyAlignment="1">
      <alignment horizontal="center"/>
    </xf>
    <xf numFmtId="0" fontId="8" fillId="4" borderId="3" xfId="5" applyFont="1" applyFill="1" applyBorder="1" applyAlignment="1">
      <alignment horizontal="center"/>
    </xf>
    <xf numFmtId="0" fontId="10" fillId="4" borderId="2" xfId="2" applyFont="1" applyFill="1" applyBorder="1" applyAlignment="1">
      <alignment horizontal="center"/>
    </xf>
    <xf numFmtId="0" fontId="10" fillId="4" borderId="22" xfId="2" applyFont="1" applyFill="1" applyBorder="1" applyAlignment="1">
      <alignment horizontal="center"/>
    </xf>
    <xf numFmtId="0" fontId="10" fillId="4" borderId="3" xfId="2" applyFont="1" applyFill="1" applyBorder="1" applyAlignment="1">
      <alignment horizontal="center"/>
    </xf>
    <xf numFmtId="0" fontId="5" fillId="3" borderId="0" xfId="1" applyFont="1" applyFill="1" applyAlignment="1">
      <alignment horizontal="left"/>
    </xf>
    <xf numFmtId="166" fontId="0" fillId="0" borderId="0" xfId="0" applyNumberFormat="1"/>
    <xf numFmtId="2" fontId="0" fillId="0" borderId="0" xfId="0" applyNumberFormat="1"/>
    <xf numFmtId="0" fontId="2" fillId="0" borderId="0" xfId="0" applyFont="1"/>
    <xf numFmtId="0" fontId="0" fillId="0" borderId="0" xfId="0" applyNumberFormat="1"/>
    <xf numFmtId="0" fontId="32" fillId="0" borderId="0" xfId="0" applyFont="1"/>
    <xf numFmtId="0" fontId="33" fillId="0" borderId="0" xfId="0" applyFont="1"/>
    <xf numFmtId="0" fontId="34" fillId="0" borderId="0" xfId="0" applyFont="1"/>
    <xf numFmtId="0" fontId="30" fillId="0" borderId="0" xfId="0" applyFont="1"/>
    <xf numFmtId="2" fontId="1" fillId="0" borderId="0" xfId="0" applyNumberFormat="1" applyFont="1"/>
    <xf numFmtId="0" fontId="1" fillId="0" borderId="0" xfId="0" applyFont="1"/>
    <xf numFmtId="1" fontId="0" fillId="0" borderId="0" xfId="0" applyNumberFormat="1"/>
    <xf numFmtId="0" fontId="0" fillId="9" borderId="24" xfId="0" applyFont="1" applyFill="1" applyBorder="1"/>
    <xf numFmtId="0" fontId="0" fillId="9" borderId="27" xfId="0" applyFont="1" applyFill="1" applyBorder="1"/>
    <xf numFmtId="0" fontId="36" fillId="0" borderId="0" xfId="0" applyFont="1"/>
    <xf numFmtId="0" fontId="0" fillId="0" borderId="0" xfId="0" applyFill="1" applyBorder="1" applyAlignment="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center"/>
    </xf>
    <xf numFmtId="0" fontId="0" fillId="0" borderId="0" xfId="0" applyAlignment="1">
      <alignment horizontal="left" indent="1"/>
    </xf>
    <xf numFmtId="0" fontId="32" fillId="0" borderId="0" xfId="0" pivotButton="1" applyFont="1"/>
    <xf numFmtId="0" fontId="32" fillId="0" borderId="0" xfId="0" applyFont="1" applyAlignment="1">
      <alignment horizontal="left"/>
    </xf>
    <xf numFmtId="0" fontId="32" fillId="0" borderId="0" xfId="0" applyNumberFormat="1" applyFont="1"/>
    <xf numFmtId="0" fontId="39" fillId="11" borderId="0" xfId="0" applyFont="1" applyFill="1" applyAlignment="1">
      <alignment horizontal="center"/>
    </xf>
    <xf numFmtId="10" fontId="32" fillId="0" borderId="0" xfId="0" applyNumberFormat="1" applyFont="1"/>
    <xf numFmtId="9" fontId="32" fillId="0" borderId="0" xfId="7" applyFont="1"/>
    <xf numFmtId="0" fontId="32" fillId="11" borderId="0" xfId="0" applyFont="1" applyFill="1"/>
    <xf numFmtId="0" fontId="32" fillId="11" borderId="0" xfId="0" applyFont="1" applyFill="1" applyAlignment="1">
      <alignment horizontal="left"/>
    </xf>
    <xf numFmtId="0" fontId="32" fillId="11" borderId="0" xfId="0" applyNumberFormat="1" applyFont="1" applyFill="1"/>
    <xf numFmtId="0" fontId="42" fillId="13" borderId="31" xfId="0" applyFont="1" applyFill="1" applyBorder="1" applyAlignment="1">
      <alignment horizontal="left"/>
    </xf>
    <xf numFmtId="0" fontId="40" fillId="14" borderId="32" xfId="0" applyFont="1" applyFill="1" applyBorder="1" applyAlignment="1">
      <alignment horizontal="left"/>
    </xf>
    <xf numFmtId="0" fontId="40" fillId="15" borderId="33" xfId="0" applyFont="1" applyFill="1" applyBorder="1"/>
    <xf numFmtId="0" fontId="42" fillId="16" borderId="31" xfId="0" applyFont="1" applyFill="1" applyBorder="1" applyAlignment="1">
      <alignment horizontal="left"/>
    </xf>
    <xf numFmtId="9" fontId="0" fillId="0" borderId="0" xfId="0" applyNumberFormat="1"/>
    <xf numFmtId="10" fontId="42" fillId="13" borderId="31" xfId="7" applyNumberFormat="1" applyFont="1" applyFill="1" applyBorder="1"/>
    <xf numFmtId="10" fontId="42" fillId="16" borderId="31" xfId="7" applyNumberFormat="1" applyFont="1" applyFill="1" applyBorder="1"/>
    <xf numFmtId="10" fontId="41" fillId="13" borderId="31" xfId="7" applyNumberFormat="1" applyFont="1" applyFill="1" applyBorder="1"/>
    <xf numFmtId="10" fontId="40" fillId="14" borderId="32" xfId="7" applyNumberFormat="1" applyFont="1" applyFill="1" applyBorder="1"/>
    <xf numFmtId="0" fontId="31" fillId="11" borderId="0" xfId="0" applyFont="1" applyFill="1" applyAlignment="1">
      <alignment horizontal="center"/>
    </xf>
    <xf numFmtId="0" fontId="43" fillId="11" borderId="0" xfId="0" applyFont="1" applyFill="1" applyAlignment="1">
      <alignment horizontal="center"/>
    </xf>
    <xf numFmtId="0" fontId="45" fillId="11" borderId="0" xfId="0" applyFont="1" applyFill="1" applyAlignment="1">
      <alignment horizontal="center"/>
    </xf>
    <xf numFmtId="0" fontId="46" fillId="11" borderId="0" xfId="0" applyFont="1" applyFill="1" applyAlignment="1">
      <alignment horizontal="center"/>
    </xf>
    <xf numFmtId="0" fontId="44" fillId="11" borderId="30" xfId="0" applyFont="1" applyFill="1" applyBorder="1" applyAlignment="1">
      <alignment horizontal="center"/>
    </xf>
    <xf numFmtId="0" fontId="0" fillId="17" borderId="28" xfId="0" applyFont="1" applyFill="1" applyBorder="1"/>
    <xf numFmtId="0" fontId="0" fillId="18" borderId="0" xfId="0" applyFill="1" applyAlignment="1">
      <alignment horizontal="center"/>
    </xf>
    <xf numFmtId="0" fontId="34" fillId="18" borderId="0" xfId="0" applyFont="1" applyFill="1" applyAlignment="1">
      <alignment horizontal="center"/>
    </xf>
    <xf numFmtId="0" fontId="32" fillId="0" borderId="0" xfId="0" applyFont="1" applyFill="1" applyBorder="1" applyAlignment="1"/>
    <xf numFmtId="0" fontId="32" fillId="18" borderId="0" xfId="0" applyFont="1" applyFill="1" applyAlignment="1">
      <alignment horizontal="center"/>
    </xf>
    <xf numFmtId="2" fontId="0" fillId="0" borderId="0" xfId="0" applyNumberFormat="1" applyFill="1" applyBorder="1" applyAlignment="1"/>
    <xf numFmtId="2" fontId="0" fillId="10" borderId="27" xfId="0" applyNumberFormat="1" applyFont="1" applyFill="1" applyBorder="1" applyAlignment="1"/>
    <xf numFmtId="2" fontId="10" fillId="5" borderId="9" xfId="1" applyNumberFormat="1" applyFont="1" applyFill="1" applyBorder="1" applyProtection="1">
      <protection locked="0"/>
    </xf>
    <xf numFmtId="2" fontId="4" fillId="0" borderId="9" xfId="1" applyNumberFormat="1" applyBorder="1"/>
    <xf numFmtId="166" fontId="3" fillId="6" borderId="11" xfId="2" applyNumberFormat="1" applyFill="1" applyBorder="1"/>
    <xf numFmtId="2" fontId="3" fillId="6" borderId="11" xfId="2" applyNumberFormat="1" applyFill="1" applyBorder="1"/>
    <xf numFmtId="171" fontId="3" fillId="6" borderId="11" xfId="2" applyNumberFormat="1" applyFill="1" applyBorder="1"/>
    <xf numFmtId="0" fontId="0" fillId="0" borderId="0" xfId="0" applyAlignment="1"/>
    <xf numFmtId="10" fontId="1" fillId="0" borderId="0" xfId="0" applyNumberFormat="1" applyFont="1"/>
    <xf numFmtId="10" fontId="2" fillId="0" borderId="0" xfId="0" applyNumberFormat="1" applyFont="1"/>
    <xf numFmtId="10" fontId="0" fillId="0" borderId="0" xfId="7" applyNumberFormat="1" applyFont="1"/>
    <xf numFmtId="9" fontId="0" fillId="0" borderId="0" xfId="7" applyNumberFormat="1" applyFont="1"/>
    <xf numFmtId="9" fontId="2" fillId="0" borderId="0" xfId="0" applyNumberFormat="1" applyFont="1"/>
    <xf numFmtId="0" fontId="37" fillId="18" borderId="29" xfId="0" applyFont="1" applyFill="1" applyBorder="1" applyAlignment="1">
      <alignment horizontal="center"/>
    </xf>
    <xf numFmtId="0" fontId="0" fillId="20" borderId="24" xfId="0" applyFont="1" applyFill="1" applyBorder="1"/>
    <xf numFmtId="2" fontId="0" fillId="20" borderId="27" xfId="0" applyNumberFormat="1" applyFont="1" applyFill="1" applyBorder="1"/>
    <xf numFmtId="0" fontId="0" fillId="20" borderId="25" xfId="0" applyFont="1" applyFill="1" applyBorder="1"/>
    <xf numFmtId="1" fontId="0" fillId="20" borderId="28" xfId="0" applyNumberFormat="1" applyFont="1" applyFill="1" applyBorder="1"/>
    <xf numFmtId="0" fontId="0" fillId="21" borderId="0" xfId="0" applyFill="1"/>
    <xf numFmtId="0" fontId="36" fillId="20" borderId="27" xfId="0" applyFont="1" applyFill="1" applyBorder="1"/>
    <xf numFmtId="0" fontId="36" fillId="20" borderId="28" xfId="0" applyFont="1" applyFill="1" applyBorder="1"/>
    <xf numFmtId="0" fontId="36" fillId="19" borderId="27" xfId="0" applyFont="1" applyFill="1" applyBorder="1"/>
    <xf numFmtId="0" fontId="35" fillId="22" borderId="26" xfId="0" applyFont="1" applyFill="1" applyBorder="1"/>
    <xf numFmtId="0" fontId="1" fillId="6" borderId="0" xfId="0" applyFont="1" applyFill="1" applyAlignment="1">
      <alignment horizontal="center"/>
    </xf>
    <xf numFmtId="0" fontId="38" fillId="6" borderId="0" xfId="0" applyFont="1" applyFill="1" applyAlignment="1">
      <alignment horizontal="center"/>
    </xf>
    <xf numFmtId="0" fontId="32" fillId="6" borderId="0" xfId="0" applyFont="1" applyFill="1" applyAlignment="1">
      <alignment horizontal="center"/>
    </xf>
    <xf numFmtId="0" fontId="31" fillId="18" borderId="0" xfId="0" applyFont="1" applyFill="1" applyAlignment="1">
      <alignment horizontal="center"/>
    </xf>
    <xf numFmtId="0" fontId="48" fillId="0" borderId="0" xfId="0" applyFont="1" applyAlignment="1">
      <alignment horizontal="center" vertical="center" readingOrder="1"/>
    </xf>
    <xf numFmtId="0" fontId="49" fillId="0" borderId="0" xfId="0" applyFont="1" applyAlignment="1">
      <alignment horizontal="center" vertical="center" readingOrder="1"/>
    </xf>
    <xf numFmtId="0" fontId="1" fillId="23" borderId="0" xfId="0" applyFont="1" applyFill="1" applyAlignment="1">
      <alignment horizontal="center"/>
    </xf>
    <xf numFmtId="0" fontId="30" fillId="2" borderId="1" xfId="0" applyFont="1" applyFill="1" applyBorder="1" applyAlignment="1">
      <alignment horizontal="center" vertical="top"/>
    </xf>
    <xf numFmtId="0" fontId="30" fillId="2" borderId="0" xfId="0" applyFont="1" applyFill="1" applyAlignment="1">
      <alignment horizontal="center" wrapText="1"/>
    </xf>
    <xf numFmtId="0" fontId="1" fillId="11" borderId="0" xfId="0" applyFont="1" applyFill="1" applyAlignment="1"/>
    <xf numFmtId="0" fontId="50" fillId="0" borderId="0" xfId="0" applyFont="1"/>
    <xf numFmtId="0" fontId="1" fillId="0" borderId="0" xfId="0" pivotButton="1" applyFont="1"/>
    <xf numFmtId="0" fontId="1" fillId="0" borderId="0" xfId="0" applyFont="1" applyAlignment="1">
      <alignment horizontal="left"/>
    </xf>
    <xf numFmtId="0" fontId="1" fillId="0" borderId="0" xfId="0" applyNumberFormat="1" applyFont="1"/>
    <xf numFmtId="0" fontId="51" fillId="0" borderId="22" xfId="0" applyFont="1" applyFill="1" applyBorder="1" applyAlignment="1">
      <alignment horizontal="centerContinuous"/>
    </xf>
    <xf numFmtId="0" fontId="1" fillId="0" borderId="0" xfId="0" applyFont="1" applyFill="1" applyBorder="1" applyAlignment="1"/>
    <xf numFmtId="2" fontId="1" fillId="0" borderId="0" xfId="0" applyNumberFormat="1" applyFont="1" applyFill="1" applyBorder="1" applyAlignment="1"/>
    <xf numFmtId="0" fontId="1" fillId="0" borderId="23" xfId="0" applyFont="1" applyFill="1" applyBorder="1" applyAlignment="1"/>
    <xf numFmtId="2" fontId="1" fillId="0" borderId="23" xfId="0" applyNumberFormat="1" applyFont="1" applyFill="1" applyBorder="1" applyAlignment="1"/>
    <xf numFmtId="0" fontId="52" fillId="0" borderId="0" xfId="0" applyFont="1" applyAlignment="1">
      <alignment horizontal="center" vertical="center" readingOrder="1"/>
    </xf>
    <xf numFmtId="0" fontId="1" fillId="23" borderId="0" xfId="0" applyFont="1" applyFill="1" applyAlignment="1">
      <alignment horizontal="center" wrapText="1"/>
    </xf>
    <xf numFmtId="0" fontId="32" fillId="23" borderId="0" xfId="0" applyFont="1" applyFill="1" applyAlignment="1">
      <alignment horizontal="center"/>
    </xf>
    <xf numFmtId="1" fontId="1" fillId="0" borderId="0" xfId="0" applyNumberFormat="1" applyFont="1"/>
    <xf numFmtId="0" fontId="2" fillId="0" borderId="0" xfId="0" applyFont="1" applyAlignment="1"/>
    <xf numFmtId="0" fontId="0" fillId="24" borderId="0" xfId="0" applyFill="1" applyAlignment="1">
      <alignment horizontal="center"/>
    </xf>
    <xf numFmtId="0" fontId="32" fillId="24" borderId="0" xfId="0" applyFont="1" applyFill="1" applyAlignment="1">
      <alignment horizontal="center"/>
    </xf>
    <xf numFmtId="0" fontId="32" fillId="24" borderId="0" xfId="0" applyFont="1" applyFill="1" applyAlignment="1">
      <alignment horizontal="center" wrapText="1"/>
    </xf>
    <xf numFmtId="0" fontId="0" fillId="2" borderId="0" xfId="0" applyFill="1"/>
    <xf numFmtId="0" fontId="31" fillId="24" borderId="0" xfId="0" applyFont="1" applyFill="1" applyAlignment="1">
      <alignment horizontal="center"/>
    </xf>
    <xf numFmtId="0" fontId="2" fillId="24" borderId="0" xfId="0" applyFont="1" applyFill="1" applyAlignment="1">
      <alignment horizontal="center"/>
    </xf>
    <xf numFmtId="0" fontId="1" fillId="18" borderId="23" xfId="0" applyFont="1" applyFill="1" applyBorder="1" applyAlignment="1">
      <alignment horizontal="center"/>
    </xf>
    <xf numFmtId="0" fontId="51" fillId="18" borderId="29" xfId="0" applyFont="1" applyFill="1" applyBorder="1" applyAlignment="1">
      <alignment horizontal="centerContinuous"/>
    </xf>
    <xf numFmtId="0" fontId="1" fillId="18" borderId="0" xfId="0" applyFont="1" applyFill="1" applyAlignment="1">
      <alignment horizontal="center"/>
    </xf>
    <xf numFmtId="0" fontId="53" fillId="3" borderId="0" xfId="1" applyFont="1" applyFill="1"/>
    <xf numFmtId="0" fontId="54" fillId="0" borderId="0" xfId="1" applyFont="1"/>
    <xf numFmtId="0" fontId="54" fillId="3" borderId="0" xfId="1" applyFont="1" applyFill="1"/>
    <xf numFmtId="0" fontId="58" fillId="4" borderId="2" xfId="1" applyFont="1" applyFill="1" applyBorder="1" applyAlignment="1">
      <alignment horizontal="center"/>
    </xf>
    <xf numFmtId="0" fontId="58" fillId="4" borderId="3" xfId="1" applyFont="1" applyFill="1" applyBorder="1" applyAlignment="1">
      <alignment horizontal="center"/>
    </xf>
    <xf numFmtId="0" fontId="58" fillId="0" borderId="6" xfId="1" applyFont="1" applyBorder="1" applyAlignment="1">
      <alignment horizontal="center"/>
    </xf>
    <xf numFmtId="0" fontId="58" fillId="0" borderId="7" xfId="1" applyFont="1" applyBorder="1" applyAlignment="1">
      <alignment horizontal="center"/>
    </xf>
    <xf numFmtId="0" fontId="58" fillId="4" borderId="10" xfId="1" applyFont="1" applyFill="1" applyBorder="1" applyAlignment="1">
      <alignment horizontal="center"/>
    </xf>
    <xf numFmtId="0" fontId="58" fillId="4" borderId="11" xfId="1" applyFont="1" applyFill="1" applyBorder="1" applyAlignment="1">
      <alignment horizontal="center"/>
    </xf>
    <xf numFmtId="0" fontId="54" fillId="0" borderId="8" xfId="1" applyFont="1" applyBorder="1"/>
    <xf numFmtId="0" fontId="58" fillId="0" borderId="6" xfId="1" applyFont="1" applyBorder="1"/>
    <xf numFmtId="9" fontId="58" fillId="0" borderId="7" xfId="4" applyFont="1" applyFill="1" applyBorder="1" applyProtection="1">
      <protection locked="0"/>
    </xf>
    <xf numFmtId="0" fontId="61" fillId="0" borderId="8" xfId="1" applyFont="1" applyBorder="1"/>
    <xf numFmtId="0" fontId="54" fillId="0" borderId="12" xfId="1" applyFont="1" applyBorder="1"/>
    <xf numFmtId="0" fontId="54" fillId="0" borderId="13" xfId="1" applyFont="1" applyBorder="1"/>
    <xf numFmtId="0" fontId="54" fillId="0" borderId="14" xfId="1" applyFont="1" applyBorder="1"/>
    <xf numFmtId="10" fontId="0" fillId="0" borderId="0" xfId="0" applyNumberFormat="1" applyAlignment="1">
      <alignment horizontal="left" indent="1"/>
    </xf>
    <xf numFmtId="0" fontId="1" fillId="0" borderId="0" xfId="0" applyFont="1" applyAlignment="1">
      <alignment horizontal="left" indent="1"/>
    </xf>
    <xf numFmtId="10" fontId="1" fillId="0" borderId="0" xfId="0" applyNumberFormat="1" applyFont="1" applyAlignment="1">
      <alignment horizontal="left" indent="1"/>
    </xf>
    <xf numFmtId="0" fontId="0" fillId="25" borderId="0" xfId="0" applyFill="1" applyAlignment="1">
      <alignment horizontal="center"/>
    </xf>
    <xf numFmtId="0" fontId="1" fillId="25" borderId="0" xfId="0" applyFont="1" applyFill="1" applyAlignment="1">
      <alignment horizontal="center"/>
    </xf>
    <xf numFmtId="0" fontId="64" fillId="0" borderId="0" xfId="0" applyFont="1"/>
    <xf numFmtId="0" fontId="30" fillId="12" borderId="0" xfId="0" applyFont="1" applyFill="1"/>
    <xf numFmtId="0" fontId="1" fillId="12" borderId="0" xfId="0" applyFont="1" applyFill="1"/>
    <xf numFmtId="10" fontId="1" fillId="12" borderId="0" xfId="0" applyNumberFormat="1" applyFont="1" applyFill="1"/>
    <xf numFmtId="0" fontId="65" fillId="25" borderId="0" xfId="0" applyFont="1" applyFill="1" applyAlignment="1">
      <alignment horizontal="center"/>
    </xf>
    <xf numFmtId="1" fontId="0" fillId="0" borderId="0" xfId="0" applyNumberFormat="1" applyAlignment="1">
      <alignment horizontal="center"/>
    </xf>
    <xf numFmtId="0" fontId="31" fillId="25" borderId="0" xfId="0" applyFont="1" applyFill="1" applyAlignment="1">
      <alignment horizontal="center"/>
    </xf>
    <xf numFmtId="2" fontId="8" fillId="5" borderId="9" xfId="4" applyNumberFormat="1" applyFont="1" applyFill="1" applyBorder="1" applyAlignment="1" applyProtection="1">
      <alignment horizontal="center"/>
      <protection locked="0"/>
    </xf>
    <xf numFmtId="2" fontId="17" fillId="0" borderId="9" xfId="5" applyNumberFormat="1" applyFont="1" applyBorder="1" applyAlignment="1">
      <alignment horizontal="center"/>
    </xf>
    <xf numFmtId="166" fontId="17" fillId="0" borderId="9" xfId="5" applyNumberFormat="1" applyFont="1" applyBorder="1" applyAlignment="1">
      <alignment horizontal="center"/>
    </xf>
    <xf numFmtId="171" fontId="17" fillId="0" borderId="9" xfId="5" applyNumberFormat="1" applyFont="1" applyBorder="1" applyAlignment="1">
      <alignment horizontal="center"/>
    </xf>
    <xf numFmtId="164" fontId="17" fillId="0" borderId="9" xfId="5" applyNumberFormat="1" applyFont="1" applyBorder="1" applyAlignment="1">
      <alignment horizontal="center"/>
    </xf>
    <xf numFmtId="0" fontId="10" fillId="5" borderId="9" xfId="2" applyFont="1" applyFill="1" applyBorder="1" applyAlignment="1" applyProtection="1">
      <alignment horizontal="center"/>
      <protection locked="0"/>
    </xf>
    <xf numFmtId="9" fontId="10" fillId="5" borderId="9" xfId="3" applyFont="1" applyFill="1" applyBorder="1" applyAlignment="1">
      <alignment horizontal="center"/>
    </xf>
    <xf numFmtId="9" fontId="4" fillId="0" borderId="9" xfId="3" applyFont="1" applyFill="1" applyBorder="1" applyAlignment="1">
      <alignment horizontal="center"/>
    </xf>
    <xf numFmtId="164" fontId="3" fillId="0" borderId="9" xfId="2" applyNumberFormat="1" applyBorder="1" applyAlignment="1">
      <alignment horizontal="center"/>
    </xf>
    <xf numFmtId="166" fontId="3" fillId="0" borderId="9" xfId="2" applyNumberFormat="1" applyBorder="1" applyAlignment="1">
      <alignment horizontal="center"/>
    </xf>
    <xf numFmtId="10" fontId="10" fillId="6" borderId="9" xfId="3" applyNumberFormat="1" applyFont="1" applyFill="1" applyBorder="1" applyAlignment="1">
      <alignment horizontal="center"/>
    </xf>
    <xf numFmtId="10" fontId="10" fillId="6" borderId="15" xfId="3" applyNumberFormat="1" applyFont="1" applyFill="1" applyBorder="1" applyAlignment="1">
      <alignment horizontal="center"/>
    </xf>
    <xf numFmtId="166" fontId="58" fillId="5" borderId="9" xfId="1" applyNumberFormat="1" applyFont="1" applyFill="1" applyBorder="1" applyAlignment="1" applyProtection="1">
      <alignment horizontal="center"/>
      <protection locked="0"/>
    </xf>
    <xf numFmtId="2" fontId="58" fillId="5" borderId="9" xfId="1" applyNumberFormat="1" applyFont="1" applyFill="1" applyBorder="1" applyAlignment="1" applyProtection="1">
      <alignment horizontal="center"/>
      <protection locked="0"/>
    </xf>
    <xf numFmtId="0" fontId="58" fillId="5" borderId="9" xfId="1" applyFont="1" applyFill="1" applyBorder="1" applyAlignment="1" applyProtection="1">
      <alignment horizontal="center"/>
      <protection locked="0"/>
    </xf>
    <xf numFmtId="9" fontId="58" fillId="5" borderId="9" xfId="4" applyFont="1" applyFill="1" applyBorder="1" applyAlignment="1" applyProtection="1">
      <alignment horizontal="center"/>
      <protection locked="0"/>
    </xf>
    <xf numFmtId="166" fontId="54" fillId="0" borderId="9" xfId="1" applyNumberFormat="1" applyFont="1" applyBorder="1" applyAlignment="1">
      <alignment horizontal="center"/>
    </xf>
    <xf numFmtId="0" fontId="54" fillId="0" borderId="9" xfId="1" applyFont="1" applyBorder="1" applyAlignment="1">
      <alignment horizontal="center"/>
    </xf>
    <xf numFmtId="2" fontId="54" fillId="0" borderId="9" xfId="1" applyNumberFormat="1" applyFont="1" applyBorder="1" applyAlignment="1">
      <alignment horizontal="center"/>
    </xf>
    <xf numFmtId="2" fontId="58" fillId="6" borderId="9" xfId="1" applyNumberFormat="1" applyFont="1" applyFill="1" applyBorder="1" applyAlignment="1">
      <alignment horizontal="center"/>
    </xf>
    <xf numFmtId="2" fontId="58" fillId="6" borderId="15" xfId="1" applyNumberFormat="1" applyFont="1" applyFill="1" applyBorder="1" applyAlignment="1">
      <alignment horizontal="center"/>
    </xf>
    <xf numFmtId="0" fontId="3" fillId="0" borderId="9" xfId="2" applyNumberFormat="1" applyBorder="1" applyAlignment="1">
      <alignment horizontal="center"/>
    </xf>
    <xf numFmtId="166" fontId="25" fillId="0" borderId="9" xfId="1" applyNumberFormat="1" applyFont="1" applyBorder="1" applyAlignment="1">
      <alignment horizontal="center"/>
    </xf>
    <xf numFmtId="0" fontId="68" fillId="25" borderId="0" xfId="0" applyFont="1" applyFill="1" applyAlignment="1">
      <alignment horizontal="center"/>
    </xf>
    <xf numFmtId="0" fontId="0" fillId="25" borderId="0" xfId="0" applyFill="1" applyAlignment="1">
      <alignment horizontal="center" wrapText="1"/>
    </xf>
  </cellXfs>
  <cellStyles count="8">
    <cellStyle name="Normal" xfId="0" builtinId="0"/>
    <cellStyle name="Normal 2 2" xfId="1" xr:uid="{F327C36B-C5B8-7844-A2B7-C7C74C1AE95F}"/>
    <cellStyle name="Normal 3" xfId="2" xr:uid="{983B2B70-CE7A-6B4F-BB70-087F3885AB9A}"/>
    <cellStyle name="Normal 3 2" xfId="5" xr:uid="{12ACBFD5-F5D5-3442-B234-4019B549E0B2}"/>
    <cellStyle name="Per cent" xfId="7" builtinId="5"/>
    <cellStyle name="Percent 2" xfId="4" xr:uid="{20FFE809-DA21-9D41-89BC-D3717C736C91}"/>
    <cellStyle name="Percent 3" xfId="3" xr:uid="{681C06D9-B388-FE4E-93AF-4A9AF4B49B7A}"/>
    <cellStyle name="Percent 3 2" xfId="6" xr:uid="{9263C217-F1A2-B344-90A3-B29E58D60D7A}"/>
  </cellStyles>
  <dxfs count="112">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4" formatCode="0.00%"/>
    </dxf>
    <dxf>
      <numFmt numFmtId="14" formatCode="0.00%"/>
    </dxf>
    <dxf>
      <font>
        <b/>
        <i val="0"/>
        <strike val="0"/>
        <condense val="0"/>
        <extend val="0"/>
        <outline val="0"/>
        <shadow val="0"/>
        <u val="none"/>
        <vertAlign val="baseline"/>
        <sz val="11"/>
        <color theme="1"/>
        <name val="Calibri"/>
        <family val="2"/>
        <scheme val="minor"/>
      </font>
    </dxf>
    <dxf>
      <alignment horizontal="left" vertical="bottom" textRotation="0" wrapText="0" indent="1" justifyLastLine="0" shrinkToFit="0" readingOrder="0"/>
    </dxf>
    <dxf>
      <font>
        <b/>
        <i val="0"/>
        <strike val="0"/>
        <condense val="0"/>
        <extend val="0"/>
        <outline val="0"/>
        <shadow val="0"/>
        <u val="none"/>
        <vertAlign val="baseline"/>
        <sz val="11"/>
        <color theme="1"/>
        <name val="Calibri"/>
        <family val="2"/>
        <scheme val="minor"/>
      </font>
    </dxf>
    <dxf>
      <font>
        <strike val="0"/>
        <outline val="0"/>
        <shadow val="0"/>
        <u val="none"/>
        <vertAlign val="baseline"/>
        <sz val="12"/>
        <color theme="1"/>
        <name val="Calibri"/>
        <family val="2"/>
        <scheme val="minor"/>
      </font>
      <alignment horizontal="left" vertical="bottom" textRotation="0" wrapText="0" relativeIndent="1"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font>
    </dxf>
    <dxf>
      <font>
        <strike val="0"/>
        <outline val="0"/>
        <shadow val="0"/>
        <u val="none"/>
        <vertAlign val="baseline"/>
        <sz val="12"/>
      </font>
    </dxf>
    <dxf>
      <font>
        <strike val="0"/>
        <outline val="0"/>
        <shadow val="0"/>
        <u val="none"/>
        <vertAlign val="baseline"/>
        <sz val="12"/>
      </font>
      <numFmt numFmtId="2" formatCode="0.0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fill>
        <patternFill patternType="none">
          <fgColor indexed="64"/>
          <bgColor indexed="65"/>
        </patternFill>
      </fill>
      <alignment horizontal="general" vertical="bottom" textRotation="0" wrapText="0" indent="0" justifyLastLine="0" shrinkToFit="0" readingOrder="0"/>
    </dxf>
    <dxf>
      <font>
        <strike val="0"/>
        <outline val="0"/>
        <shadow val="0"/>
        <u val="none"/>
        <vertAlign val="baseline"/>
        <sz val="12"/>
        <color theme="1"/>
        <name val="Calibri"/>
        <family val="2"/>
        <scheme val="minor"/>
      </font>
      <numFmt numFmtId="2" formatCode="0.00"/>
      <fill>
        <patternFill patternType="none">
          <fgColor indexed="64"/>
          <bgColor indexed="65"/>
        </patternFill>
      </fill>
      <alignment horizontal="general" vertical="bottom" textRotation="0" wrapText="0" indent="0" justifyLastLine="0" shrinkToFit="0" readingOrder="0"/>
    </dxf>
    <dxf>
      <font>
        <strike val="0"/>
        <outline val="0"/>
        <shadow val="0"/>
        <u val="none"/>
        <vertAlign val="baseline"/>
        <sz val="12"/>
        <color theme="1"/>
        <name val="Calibri"/>
        <family val="2"/>
        <scheme val="minor"/>
      </font>
      <fill>
        <patternFill patternType="none">
          <fgColor indexed="64"/>
          <bgColor indexed="65"/>
        </patternFill>
      </fill>
      <alignment horizontal="general" vertical="bottom" textRotation="0" wrapText="0" indent="0" justifyLastLine="0" shrinkToFit="0" readingOrder="0"/>
    </dxf>
    <dxf>
      <border outline="0">
        <top style="thin">
          <color indexed="64"/>
        </top>
        <bottom style="medium">
          <color indexed="64"/>
        </bottom>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sz val="12"/>
      </font>
    </dxf>
    <dxf>
      <font>
        <sz val="12"/>
      </font>
    </dxf>
    <dxf>
      <font>
        <sz val="12"/>
      </font>
    </dxf>
    <dxf>
      <font>
        <sz val="12"/>
      </font>
    </dxf>
    <dxf>
      <font>
        <sz val="12"/>
      </font>
    </dxf>
    <dxf>
      <font>
        <sz val="12"/>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2" formatCode="0.0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numFmt numFmtId="2" formatCode="0.00"/>
    </dxf>
    <dxf>
      <numFmt numFmtId="2" formatCode="0.00"/>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4" formatCode="0.00%"/>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theme="1"/>
        <name val="Calibri"/>
        <family val="2"/>
        <scheme val="minor"/>
      </font>
    </dxf>
    <dxf>
      <numFmt numFmtId="13" formatCode="0%"/>
    </dxf>
    <dxf>
      <numFmt numFmtId="14" formatCode="0.00%"/>
    </dxf>
    <dxf>
      <numFmt numFmtId="14" formatCode="0.00%"/>
    </dxf>
    <dxf>
      <numFmt numFmtId="14" formatCode="0.00%"/>
    </dxf>
    <dxf>
      <font>
        <b/>
        <i val="0"/>
        <strike val="0"/>
        <condense val="0"/>
        <extend val="0"/>
        <outline val="0"/>
        <shadow val="0"/>
        <u val="none"/>
        <vertAlign val="baseline"/>
        <sz val="11"/>
        <color theme="1"/>
        <name val="Calibri"/>
        <family val="2"/>
        <scheme val="minor"/>
      </font>
    </dxf>
    <dxf>
      <numFmt numFmtId="14" formatCode="0.00%"/>
    </dxf>
    <dxf>
      <numFmt numFmtId="14" formatCode="0.00%"/>
    </dxf>
    <dxf>
      <numFmt numFmtId="14" formatCode="0.00%"/>
    </dxf>
    <dxf>
      <numFmt numFmtId="14" formatCode="0.00%"/>
    </dxf>
    <dxf>
      <font>
        <strike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14" formatCode="0.00%"/>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0"/>
        <color theme="1"/>
        <name val="Arial Unicode MS"/>
        <family val="2"/>
        <scheme val="none"/>
      </font>
      <fill>
        <patternFill patternType="solid">
          <fgColor theme="4" tint="0.59999389629810485"/>
          <bgColor theme="4" tint="0.59999389629810485"/>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0"/>
        <color theme="1"/>
        <name val="Arial Unicode MS"/>
        <family val="2"/>
        <scheme val="none"/>
      </font>
      <fill>
        <patternFill patternType="solid">
          <fgColor theme="4" tint="0.59999389629810485"/>
          <bgColor theme="4" tint="0.59999389629810485"/>
        </patternFill>
      </fill>
      <border diagonalUp="0" diagonalDown="0">
        <left style="thin">
          <color theme="0"/>
        </left>
        <right/>
        <top style="thin">
          <color theme="0"/>
        </top>
        <bottom style="thin">
          <color theme="0"/>
        </bottom>
        <vertical/>
        <horizontal/>
      </border>
    </dxf>
    <dxf>
      <border outline="0">
        <bottom style="thin">
          <color theme="0"/>
        </bottom>
      </border>
    </dxf>
    <dxf>
      <fill>
        <patternFill patternType="none">
          <fgColor indexed="64"/>
          <bgColor indexed="65"/>
        </patternFill>
      </fill>
      <alignment horizontal="general" vertical="bottom" textRotation="0" wrapText="0" indent="0" justifyLastLine="0" shrinkToFit="0" readingOrder="0"/>
    </dxf>
    <dxf>
      <border outline="0">
        <top style="thin">
          <color indexed="64"/>
        </top>
        <bottom style="medium">
          <color indexed="64"/>
        </bottom>
      </border>
    </dxf>
    <dxf>
      <font>
        <sz val="14"/>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ont>
        <b val="0"/>
        <i val="0"/>
        <strike val="0"/>
        <condense val="0"/>
        <extend val="0"/>
        <outline val="0"/>
        <shadow val="0"/>
        <u val="none"/>
        <vertAlign val="baseline"/>
        <sz val="14"/>
        <color theme="1"/>
        <name val="Calibri"/>
        <family val="2"/>
        <scheme val="minor"/>
      </font>
      <numFmt numFmtId="14" formatCode="0.00%"/>
      <fill>
        <patternFill patternType="solid">
          <fgColor theme="9" tint="0.59999389629810485"/>
          <bgColor theme="9" tint="0.59999389629810485"/>
        </patternFill>
      </fill>
      <border diagonalUp="0" diagonalDown="0" outline="0">
        <left/>
        <right/>
        <top style="thin">
          <color theme="9" tint="0.79998168889431442"/>
        </top>
        <bottom style="thin">
          <color theme="9" tint="0.79998168889431442"/>
        </bottom>
      </border>
    </dxf>
    <dxf>
      <font>
        <b val="0"/>
        <i val="0"/>
        <strike val="0"/>
        <condense val="0"/>
        <extend val="0"/>
        <outline val="0"/>
        <shadow val="0"/>
        <u val="none"/>
        <vertAlign val="baseline"/>
        <sz val="14"/>
        <color theme="1"/>
        <name val="Calibri"/>
        <family val="2"/>
        <scheme val="minor"/>
      </font>
      <numFmt numFmtId="14" formatCode="0.00%"/>
      <fill>
        <patternFill patternType="solid">
          <fgColor theme="9" tint="0.59999389629810485"/>
          <bgColor theme="9" tint="0.59999389629810485"/>
        </patternFill>
      </fill>
      <border diagonalUp="0" diagonalDown="0" outline="0">
        <left/>
        <right/>
        <top style="thin">
          <color theme="9" tint="0.79998168889431442"/>
        </top>
        <bottom style="thin">
          <color theme="9" tint="0.79998168889431442"/>
        </bottom>
      </border>
    </dxf>
    <dxf>
      <font>
        <b val="0"/>
        <i val="0"/>
        <strike val="0"/>
        <condense val="0"/>
        <extend val="0"/>
        <outline val="0"/>
        <shadow val="0"/>
        <u val="none"/>
        <vertAlign val="baseline"/>
        <sz val="14"/>
        <color theme="1"/>
        <name val="Calibri"/>
        <family val="2"/>
        <scheme val="minor"/>
      </font>
      <numFmt numFmtId="14" formatCode="0.00%"/>
      <fill>
        <patternFill patternType="solid">
          <fgColor theme="9" tint="0.59999389629810485"/>
          <bgColor theme="9" tint="0.59999389629810485"/>
        </patternFill>
      </fill>
      <border diagonalUp="0" diagonalDown="0" outline="0">
        <left/>
        <right/>
        <top style="thin">
          <color theme="9" tint="0.79998168889431442"/>
        </top>
        <bottom style="thin">
          <color theme="9" tint="0.79998168889431442"/>
        </bottom>
      </border>
    </dxf>
    <dxf>
      <font>
        <b val="0"/>
        <i val="0"/>
        <strike val="0"/>
        <condense val="0"/>
        <extend val="0"/>
        <outline val="0"/>
        <shadow val="0"/>
        <u val="none"/>
        <vertAlign val="baseline"/>
        <sz val="14"/>
        <color theme="1"/>
        <name val="Calibri"/>
        <family val="2"/>
        <scheme val="minor"/>
      </font>
      <fill>
        <patternFill patternType="solid">
          <fgColor theme="9" tint="0.59999389629810485"/>
          <bgColor theme="9" tint="0.59999389629810485"/>
        </patternFill>
      </fill>
      <alignment horizontal="left" vertical="bottom" textRotation="0" wrapText="0" indent="0" justifyLastLine="0" shrinkToFit="0" readingOrder="0"/>
      <border diagonalUp="0" diagonalDown="0" outline="0">
        <left/>
        <right/>
        <top style="thin">
          <color theme="9" tint="0.79998168889431442"/>
        </top>
        <bottom style="thin">
          <color theme="9" tint="0.79998168889431442"/>
        </bottom>
      </border>
    </dxf>
    <dxf>
      <font>
        <b/>
        <i val="0"/>
        <strike val="0"/>
        <condense val="0"/>
        <extend val="0"/>
        <outline val="0"/>
        <shadow val="0"/>
        <u val="none"/>
        <vertAlign val="baseline"/>
        <sz val="14"/>
        <color theme="0"/>
        <name val="Calibri"/>
        <family val="2"/>
        <scheme val="minor"/>
      </font>
      <fill>
        <patternFill patternType="solid">
          <fgColor theme="9" tint="-0.499984740745262"/>
          <bgColor theme="1"/>
        </patternFill>
      </fill>
    </dxf>
    <dxf>
      <font>
        <b/>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numFmt numFmtId="14" formatCode="0.00%"/>
    </dxf>
    <dxf>
      <font>
        <b val="0"/>
        <i val="0"/>
        <strike val="0"/>
        <condense val="0"/>
        <extend val="0"/>
        <outline val="0"/>
        <shadow val="0"/>
        <u val="none"/>
        <vertAlign val="baseline"/>
        <sz val="14"/>
        <color theme="1"/>
        <name val="Calibri"/>
        <family val="2"/>
        <scheme val="minor"/>
      </font>
      <numFmt numFmtId="14" formatCode="0.00%"/>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fill>
        <patternFill patternType="solid">
          <fgColor theme="9" tint="0.59999389629810485"/>
          <bgColor theme="9" tint="0.59999389629810485"/>
        </patternFill>
      </fill>
    </dxf>
    <dxf>
      <border outline="0">
        <top style="thin">
          <color theme="9" tint="0.79998168889431442"/>
        </top>
      </border>
    </dxf>
    <dxf>
      <border outline="0">
        <bottom style="thin">
          <color theme="9"/>
        </bottom>
      </border>
    </dxf>
    <dxf>
      <border outline="0">
        <top style="thin">
          <color theme="9" tint="-0.499984740745262"/>
        </top>
      </border>
    </dxf>
  </dxfs>
  <tableStyles count="0" defaultTableStyle="TableStyleMedium9" defaultPivotStyle="PivotStyleLight16"/>
  <colors>
    <mruColors>
      <color rgb="FFFF9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Spending Ranges of AussieMart Customers (in $'000)</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'Q1(a)'!$G$67</c:f>
              <c:strCache>
                <c:ptCount val="1"/>
                <c:pt idx="0">
                  <c:v>Frequency(f)</c:v>
                </c:pt>
              </c:strCache>
            </c:strRef>
          </c:tx>
          <c:spPr>
            <a:solidFill>
              <a:schemeClr val="accent1">
                <a:lumMod val="75000"/>
              </a:schemeClr>
            </a:solid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'Q1(a)'!$E$68:$E$74</c:f>
              <c:strCache>
                <c:ptCount val="7"/>
                <c:pt idx="0">
                  <c:v>&lt; $22</c:v>
                </c:pt>
                <c:pt idx="1">
                  <c:v>$23 - $44</c:v>
                </c:pt>
                <c:pt idx="2">
                  <c:v>$45 - $66</c:v>
                </c:pt>
                <c:pt idx="3">
                  <c:v>$67 - $88</c:v>
                </c:pt>
                <c:pt idx="4">
                  <c:v>$89 - $110</c:v>
                </c:pt>
                <c:pt idx="5">
                  <c:v>$111 - $132</c:v>
                </c:pt>
                <c:pt idx="6">
                  <c:v>&gt; $132</c:v>
                </c:pt>
              </c:strCache>
            </c:strRef>
          </c:cat>
          <c:val>
            <c:numRef>
              <c:f>'Q1(a)'!$G$68:$G$74</c:f>
              <c:numCache>
                <c:formatCode>General</c:formatCode>
                <c:ptCount val="7"/>
                <c:pt idx="0">
                  <c:v>52</c:v>
                </c:pt>
                <c:pt idx="1">
                  <c:v>121</c:v>
                </c:pt>
                <c:pt idx="2">
                  <c:v>124</c:v>
                </c:pt>
                <c:pt idx="3">
                  <c:v>85</c:v>
                </c:pt>
                <c:pt idx="4">
                  <c:v>14</c:v>
                </c:pt>
                <c:pt idx="5">
                  <c:v>2</c:v>
                </c:pt>
                <c:pt idx="6">
                  <c:v>2</c:v>
                </c:pt>
              </c:numCache>
            </c:numRef>
          </c:val>
          <c:extLst>
            <c:ext xmlns:c16="http://schemas.microsoft.com/office/drawing/2014/chart" uri="{C3380CC4-5D6E-409C-BE32-E72D297353CC}">
              <c16:uniqueId val="{00000000-58B8-554B-B5A7-C93A43ADBE55}"/>
            </c:ext>
          </c:extLst>
        </c:ser>
        <c:dLbls>
          <c:dLblPos val="inEnd"/>
          <c:showLegendKey val="0"/>
          <c:showVal val="1"/>
          <c:showCatName val="0"/>
          <c:showSerName val="0"/>
          <c:showPercent val="0"/>
          <c:showBubbleSize val="0"/>
        </c:dLbls>
        <c:gapWidth val="164"/>
        <c:overlap val="-22"/>
        <c:axId val="165080816"/>
        <c:axId val="1520593951"/>
      </c:barChart>
      <c:catAx>
        <c:axId val="1650808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a:t>Total Annual Spend (in $’000)</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593951"/>
        <c:crosses val="autoZero"/>
        <c:auto val="1"/>
        <c:lblAlgn val="ctr"/>
        <c:lblOffset val="100"/>
        <c:noMultiLvlLbl val="0"/>
      </c:catAx>
      <c:valAx>
        <c:axId val="152059395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a:t>Customer 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80816"/>
        <c:crosses val="autoZero"/>
        <c:crossBetween val="between"/>
      </c:valAx>
      <c:spPr>
        <a:noFill/>
        <a:ln>
          <a:noFill/>
        </a:ln>
        <a:effectLst/>
      </c:spPr>
    </c:plotArea>
    <c:plotVisOnly val="1"/>
    <c:dispBlanksAs val="gap"/>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Number of Customers in Each Online Shopping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'Q1(b)'!$G$5</c:f>
              <c:strCache>
                <c:ptCount val="1"/>
                <c:pt idx="0">
                  <c:v>Customer Count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solidFill>
                <a:schemeClr val="bg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chemeClr val="tx2">
                  <a:lumMod val="60000"/>
                  <a:lumOff val="40000"/>
                </a:schemeClr>
              </a:solidFill>
              <a:ln cap="sq">
                <a:solidFill>
                  <a:schemeClr val="bg1"/>
                </a:solidFill>
                <a:miter lim="800000"/>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420-3E43-9807-29570A62C3FD}"/>
              </c:ext>
            </c:extLst>
          </c:dPt>
          <c:dPt>
            <c:idx val="1"/>
            <c:invertIfNegative val="0"/>
            <c:bubble3D val="0"/>
            <c:spPr>
              <a:solidFill>
                <a:schemeClr val="accent2">
                  <a:lumMod val="75000"/>
                </a:schemeClr>
              </a:solidFill>
              <a:ln>
                <a:solidFill>
                  <a:schemeClr val="bg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420-3E43-9807-29570A62C3FD}"/>
              </c:ext>
            </c:extLst>
          </c:dPt>
          <c:dPt>
            <c:idx val="2"/>
            <c:invertIfNegative val="0"/>
            <c:bubble3D val="0"/>
            <c:spPr>
              <a:solidFill>
                <a:schemeClr val="accent3"/>
              </a:solidFill>
              <a:ln>
                <a:solidFill>
                  <a:schemeClr val="bg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D420-3E43-9807-29570A62C3FD}"/>
              </c:ext>
            </c:extLst>
          </c:dPt>
          <c:cat>
            <c:strRef>
              <c:f>'Q1(b)'!$F$6:$F$9</c:f>
              <c:strCache>
                <c:ptCount val="4"/>
                <c:pt idx="0">
                  <c:v>Always</c:v>
                </c:pt>
                <c:pt idx="1">
                  <c:v>Often</c:v>
                </c:pt>
                <c:pt idx="2">
                  <c:v>Rarely</c:v>
                </c:pt>
                <c:pt idx="3">
                  <c:v>Sometimes</c:v>
                </c:pt>
              </c:strCache>
            </c:strRef>
          </c:cat>
          <c:val>
            <c:numRef>
              <c:f>'Q1(b)'!$G$6:$G$9</c:f>
              <c:numCache>
                <c:formatCode>General</c:formatCode>
                <c:ptCount val="4"/>
                <c:pt idx="0">
                  <c:v>38</c:v>
                </c:pt>
                <c:pt idx="1">
                  <c:v>110</c:v>
                </c:pt>
                <c:pt idx="2">
                  <c:v>88</c:v>
                </c:pt>
                <c:pt idx="3">
                  <c:v>164</c:v>
                </c:pt>
              </c:numCache>
            </c:numRef>
          </c:val>
          <c:extLst>
            <c:ext xmlns:c16="http://schemas.microsoft.com/office/drawing/2014/chart" uri="{C3380CC4-5D6E-409C-BE32-E72D297353CC}">
              <c16:uniqueId val="{00000000-D420-3E43-9807-29570A62C3FD}"/>
            </c:ext>
          </c:extLst>
        </c:ser>
        <c:dLbls>
          <c:showLegendKey val="0"/>
          <c:showVal val="0"/>
          <c:showCatName val="0"/>
          <c:showSerName val="0"/>
          <c:showPercent val="0"/>
          <c:showBubbleSize val="0"/>
        </c:dLbls>
        <c:gapWidth val="100"/>
        <c:overlap val="-24"/>
        <c:axId val="1403852224"/>
        <c:axId val="1403853936"/>
      </c:barChart>
      <c:catAx>
        <c:axId val="140385222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Online Shopping Frequency Categories</a:t>
                </a:r>
                <a:endParaRPr lang="en-GB"/>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3853936"/>
        <c:crosses val="autoZero"/>
        <c:auto val="1"/>
        <c:lblAlgn val="ctr"/>
        <c:lblOffset val="100"/>
        <c:noMultiLvlLbl val="0"/>
      </c:catAx>
      <c:valAx>
        <c:axId val="1403853936"/>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Number of Customer</a:t>
                </a:r>
                <a:endParaRPr lang="en-GB"/>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385222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Customer Distribution by Online Shopping Frequency</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0C4C-C443-98FC-3B460A93B76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C4C-C443-98FC-3B460A93B76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0C4C-C443-98FC-3B460A93B76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C4C-C443-98FC-3B460A93B76E}"/>
              </c:ext>
            </c:extLst>
          </c:dPt>
          <c:dLbls>
            <c:dLbl>
              <c:idx val="0"/>
              <c:tx>
                <c:rich>
                  <a:bodyPr/>
                  <a:lstStyle/>
                  <a:p>
                    <a:fld id="{7E0FA2BE-FDB7-6345-9B54-5F8ED47CFBC7}" type="CELLRANGE">
                      <a:rPr lang="en-US"/>
                      <a:pPr/>
                      <a:t>[CELLRANGE]</a:t>
                    </a:fld>
                    <a:r>
                      <a:rPr lang="en-US" baseline="0"/>
                      <a:t>
</a:t>
                    </a:r>
                    <a:fld id="{41A9FF32-DCFE-4340-9EBD-5D1BECCE1F84}" type="CATEGORYNAME">
                      <a:rPr lang="en-US" baseline="0"/>
                      <a:pPr/>
                      <a:t>[CATEGORY NAME]</a:t>
                    </a:fld>
                    <a:r>
                      <a:rPr lang="en-US" baseline="0"/>
                      <a:t>
</a:t>
                    </a:r>
                    <a:fld id="{770055C2-4CDF-2D4C-AB80-4CEB26CB9195}"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C4C-C443-98FC-3B460A93B76E}"/>
                </c:ext>
              </c:extLst>
            </c:dLbl>
            <c:dLbl>
              <c:idx val="1"/>
              <c:tx>
                <c:rich>
                  <a:bodyPr/>
                  <a:lstStyle/>
                  <a:p>
                    <a:fld id="{F2E9AC8F-0CE7-6740-9E29-40D17358FEB5}" type="CELLRANGE">
                      <a:rPr lang="en-US"/>
                      <a:pPr/>
                      <a:t>[CELLRANGE]</a:t>
                    </a:fld>
                    <a:r>
                      <a:rPr lang="en-US" baseline="0"/>
                      <a:t>
</a:t>
                    </a:r>
                    <a:fld id="{6DD201C8-4350-F241-9549-D505544EA72A}" type="CATEGORYNAME">
                      <a:rPr lang="en-US" baseline="0"/>
                      <a:pPr/>
                      <a:t>[CATEGORY NAME]</a:t>
                    </a:fld>
                    <a:r>
                      <a:rPr lang="en-US" baseline="0"/>
                      <a:t>
</a:t>
                    </a:r>
                    <a:fld id="{913732B4-435A-6D4C-89C2-E127E9B101FC}"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C4C-C443-98FC-3B460A93B76E}"/>
                </c:ext>
              </c:extLst>
            </c:dLbl>
            <c:dLbl>
              <c:idx val="2"/>
              <c:tx>
                <c:rich>
                  <a:bodyPr/>
                  <a:lstStyle/>
                  <a:p>
                    <a:fld id="{394261EB-5437-5743-A251-D5CE4C6A559F}" type="CELLRANGE">
                      <a:rPr lang="en-US"/>
                      <a:pPr/>
                      <a:t>[CELLRANGE]</a:t>
                    </a:fld>
                    <a:r>
                      <a:rPr lang="en-US" baseline="0"/>
                      <a:t>
</a:t>
                    </a:r>
                    <a:fld id="{7646593B-3E3E-6D44-A415-AD21A9E03875}" type="CATEGORYNAME">
                      <a:rPr lang="en-US" baseline="0"/>
                      <a:pPr/>
                      <a:t>[CATEGORY NAME]</a:t>
                    </a:fld>
                    <a:r>
                      <a:rPr lang="en-US" baseline="0"/>
                      <a:t>
</a:t>
                    </a:r>
                    <a:fld id="{9C887DAB-3DC5-9748-A218-57930A88E0BC}"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C4C-C443-98FC-3B460A93B76E}"/>
                </c:ext>
              </c:extLst>
            </c:dLbl>
            <c:dLbl>
              <c:idx val="3"/>
              <c:tx>
                <c:rich>
                  <a:bodyPr/>
                  <a:lstStyle/>
                  <a:p>
                    <a:fld id="{8AC394E8-854A-5143-968C-FE67EBF1F95E}" type="CELLRANGE">
                      <a:rPr lang="en-US"/>
                      <a:pPr/>
                      <a:t>[CELLRANGE]</a:t>
                    </a:fld>
                    <a:r>
                      <a:rPr lang="en-US" baseline="0"/>
                      <a:t>
</a:t>
                    </a:r>
                    <a:fld id="{B96DAEEE-F6C6-FA45-95BF-F9B0DC8ACEEE}" type="CATEGORYNAME">
                      <a:rPr lang="en-US" baseline="0"/>
                      <a:pPr/>
                      <a:t>[CATEGORY NAME]</a:t>
                    </a:fld>
                    <a:r>
                      <a:rPr lang="en-US" baseline="0"/>
                      <a:t>
</a:t>
                    </a:r>
                    <a:fld id="{9BCE7280-FD8C-9A40-99BB-7AB1FC328513}"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C4C-C443-98FC-3B460A93B7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howDataLabelsRange val="1"/>
              </c:ext>
            </c:extLst>
          </c:dLbls>
          <c:cat>
            <c:numRef>
              <c:f>'Q1(b)'!$G$6:$G$9</c:f>
              <c:numCache>
                <c:formatCode>General</c:formatCode>
                <c:ptCount val="4"/>
                <c:pt idx="0">
                  <c:v>38</c:v>
                </c:pt>
                <c:pt idx="1">
                  <c:v>110</c:v>
                </c:pt>
                <c:pt idx="2">
                  <c:v>88</c:v>
                </c:pt>
                <c:pt idx="3">
                  <c:v>164</c:v>
                </c:pt>
              </c:numCache>
            </c:numRef>
          </c:cat>
          <c:val>
            <c:numRef>
              <c:f>'Q1(b)'!$H$6:$H$9</c:f>
              <c:numCache>
                <c:formatCode>0.00%</c:formatCode>
                <c:ptCount val="4"/>
                <c:pt idx="0">
                  <c:v>9.4763092269326679E-2</c:v>
                </c:pt>
                <c:pt idx="1">
                  <c:v>0.27431421446384041</c:v>
                </c:pt>
                <c:pt idx="2">
                  <c:v>0.21945137157107231</c:v>
                </c:pt>
                <c:pt idx="3">
                  <c:v>0.40897755610972569</c:v>
                </c:pt>
              </c:numCache>
            </c:numRef>
          </c:val>
          <c:extLst>
            <c:ext xmlns:c15="http://schemas.microsoft.com/office/drawing/2012/chart" uri="{02D57815-91ED-43cb-92C2-25804820EDAC}">
              <c15:datalabelsRange>
                <c15:f>'Q1(b)'!$F$6:$F$9</c15:f>
                <c15:dlblRangeCache>
                  <c:ptCount val="4"/>
                  <c:pt idx="0">
                    <c:v>Always</c:v>
                  </c:pt>
                  <c:pt idx="1">
                    <c:v>Often</c:v>
                  </c:pt>
                  <c:pt idx="2">
                    <c:v>Rarely</c:v>
                  </c:pt>
                  <c:pt idx="3">
                    <c:v>Sometimes</c:v>
                  </c:pt>
                </c15:dlblRangeCache>
              </c15:datalabelsRange>
            </c:ext>
            <c:ext xmlns:c16="http://schemas.microsoft.com/office/drawing/2014/chart" uri="{C3380CC4-5D6E-409C-BE32-E72D297353CC}">
              <c16:uniqueId val="{00000000-0C4C-C443-98FC-3B460A93B76E}"/>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sz="1600"/>
              <a:t>Relationship Between Customer Transactions and Spending</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'Q2(a)'!$B$1</c:f>
              <c:strCache>
                <c:ptCount val="1"/>
                <c:pt idx="0">
                  <c:v>Num_Trans</c:v>
                </c:pt>
              </c:strCache>
            </c:strRef>
          </c:tx>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trendline>
            <c:spPr>
              <a:ln w="50800" cap="rnd">
                <a:solidFill>
                  <a:srgbClr val="FFC000">
                    <a:alpha val="58000"/>
                  </a:srgbClr>
                </a:solidFill>
                <a:tailEnd type="triangle"/>
              </a:ln>
              <a:effectLst/>
            </c:spPr>
            <c:trendlineType val="linear"/>
            <c:dispRSqr val="1"/>
            <c:dispEq val="1"/>
            <c:trendlineLbl>
              <c:layout>
                <c:manualLayout>
                  <c:x val="0.10113653003788725"/>
                  <c:y val="-0.39997703412073493"/>
                </c:manualLayout>
              </c:layout>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sz="1200" b="0" i="0" u="none" strike="noStrike" baseline="0"/>
                      <a:t>Regression Equation for Spending vs. Transactions</a:t>
                    </a:r>
                  </a:p>
                  <a:p>
                    <a:pPr>
                      <a:defRPr/>
                    </a:pPr>
                    <a:r>
                      <a:rPr lang="en-US" sz="1600" baseline="0"/>
                      <a:t>y = 0.359x + 34.208</a:t>
                    </a:r>
                    <a:br>
                      <a:rPr lang="en-US" sz="1600" baseline="0"/>
                    </a:br>
                    <a:r>
                      <a:rPr lang="en-US" sz="1600" baseline="0"/>
                      <a:t>R² = 0.0835</a:t>
                    </a:r>
                    <a:endParaRPr lang="en-US" sz="16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'Q2(a)'!$A$2:$A$401</c:f>
              <c:numCache>
                <c:formatCode>General</c:formatCode>
                <c:ptCount val="400"/>
                <c:pt idx="0">
                  <c:v>17.388000000000002</c:v>
                </c:pt>
                <c:pt idx="1">
                  <c:v>46.656999999999996</c:v>
                </c:pt>
                <c:pt idx="2">
                  <c:v>68.616</c:v>
                </c:pt>
                <c:pt idx="3">
                  <c:v>28.391999999999999</c:v>
                </c:pt>
                <c:pt idx="4">
                  <c:v>43.87</c:v>
                </c:pt>
                <c:pt idx="5">
                  <c:v>65.685000000000002</c:v>
                </c:pt>
                <c:pt idx="6">
                  <c:v>25.864999999999998</c:v>
                </c:pt>
                <c:pt idx="7">
                  <c:v>40.753999999999998</c:v>
                </c:pt>
                <c:pt idx="8">
                  <c:v>16.122</c:v>
                </c:pt>
                <c:pt idx="9">
                  <c:v>43.776000000000003</c:v>
                </c:pt>
                <c:pt idx="10">
                  <c:v>63.607999999999997</c:v>
                </c:pt>
                <c:pt idx="11">
                  <c:v>35.884</c:v>
                </c:pt>
                <c:pt idx="12">
                  <c:v>59.942999999999998</c:v>
                </c:pt>
                <c:pt idx="13">
                  <c:v>55.834000000000003</c:v>
                </c:pt>
                <c:pt idx="14">
                  <c:v>15.707000000000001</c:v>
                </c:pt>
                <c:pt idx="15">
                  <c:v>67.504000000000005</c:v>
                </c:pt>
                <c:pt idx="16">
                  <c:v>42.305</c:v>
                </c:pt>
                <c:pt idx="17">
                  <c:v>45.494</c:v>
                </c:pt>
                <c:pt idx="18">
                  <c:v>25.003</c:v>
                </c:pt>
                <c:pt idx="19">
                  <c:v>46.646000000000001</c:v>
                </c:pt>
                <c:pt idx="20">
                  <c:v>32.247999999999998</c:v>
                </c:pt>
                <c:pt idx="21">
                  <c:v>71.543000000000006</c:v>
                </c:pt>
                <c:pt idx="22">
                  <c:v>37.268999999999998</c:v>
                </c:pt>
                <c:pt idx="23">
                  <c:v>34.418999999999997</c:v>
                </c:pt>
                <c:pt idx="24">
                  <c:v>62.975000000000001</c:v>
                </c:pt>
                <c:pt idx="25">
                  <c:v>51.877000000000002</c:v>
                </c:pt>
                <c:pt idx="26">
                  <c:v>38.255000000000003</c:v>
                </c:pt>
                <c:pt idx="27">
                  <c:v>20.73</c:v>
                </c:pt>
                <c:pt idx="28">
                  <c:v>42.258000000000003</c:v>
                </c:pt>
                <c:pt idx="29">
                  <c:v>66.81</c:v>
                </c:pt>
                <c:pt idx="30">
                  <c:v>8.32</c:v>
                </c:pt>
                <c:pt idx="31">
                  <c:v>76.06</c:v>
                </c:pt>
                <c:pt idx="32">
                  <c:v>69.683000000000007</c:v>
                </c:pt>
                <c:pt idx="33">
                  <c:v>12.763</c:v>
                </c:pt>
                <c:pt idx="34">
                  <c:v>71.554000000000002</c:v>
                </c:pt>
                <c:pt idx="35">
                  <c:v>25.687000000000001</c:v>
                </c:pt>
                <c:pt idx="36">
                  <c:v>79.507999999999996</c:v>
                </c:pt>
                <c:pt idx="37">
                  <c:v>55.863999999999997</c:v>
                </c:pt>
                <c:pt idx="38">
                  <c:v>21.869</c:v>
                </c:pt>
                <c:pt idx="39">
                  <c:v>48.048999999999999</c:v>
                </c:pt>
                <c:pt idx="40">
                  <c:v>56.99</c:v>
                </c:pt>
                <c:pt idx="41">
                  <c:v>56.372999999999998</c:v>
                </c:pt>
                <c:pt idx="42">
                  <c:v>44.795000000000002</c:v>
                </c:pt>
                <c:pt idx="43">
                  <c:v>22.158000000000001</c:v>
                </c:pt>
                <c:pt idx="44">
                  <c:v>59.811999999999998</c:v>
                </c:pt>
                <c:pt idx="45">
                  <c:v>28.178000000000001</c:v>
                </c:pt>
                <c:pt idx="46">
                  <c:v>30.478000000000002</c:v>
                </c:pt>
                <c:pt idx="47">
                  <c:v>33.076000000000001</c:v>
                </c:pt>
                <c:pt idx="48">
                  <c:v>38.529000000000003</c:v>
                </c:pt>
                <c:pt idx="49">
                  <c:v>25.236000000000001</c:v>
                </c:pt>
                <c:pt idx="50">
                  <c:v>43.134</c:v>
                </c:pt>
                <c:pt idx="51">
                  <c:v>40.027999999999999</c:v>
                </c:pt>
                <c:pt idx="52">
                  <c:v>18.603000000000002</c:v>
                </c:pt>
                <c:pt idx="53">
                  <c:v>29.172999999999998</c:v>
                </c:pt>
                <c:pt idx="54">
                  <c:v>36.603000000000002</c:v>
                </c:pt>
                <c:pt idx="55">
                  <c:v>73.004000000000005</c:v>
                </c:pt>
                <c:pt idx="56">
                  <c:v>56.515000000000001</c:v>
                </c:pt>
                <c:pt idx="57">
                  <c:v>61.512</c:v>
                </c:pt>
                <c:pt idx="58">
                  <c:v>80.498000000000005</c:v>
                </c:pt>
                <c:pt idx="59">
                  <c:v>27.545999999999999</c:v>
                </c:pt>
                <c:pt idx="60">
                  <c:v>69.968000000000004</c:v>
                </c:pt>
                <c:pt idx="61">
                  <c:v>79.772000000000006</c:v>
                </c:pt>
                <c:pt idx="62">
                  <c:v>25.855</c:v>
                </c:pt>
                <c:pt idx="63">
                  <c:v>19.073</c:v>
                </c:pt>
                <c:pt idx="64">
                  <c:v>26.183</c:v>
                </c:pt>
                <c:pt idx="65">
                  <c:v>13.362</c:v>
                </c:pt>
                <c:pt idx="66">
                  <c:v>68.884</c:v>
                </c:pt>
                <c:pt idx="67">
                  <c:v>9.5280000000000005</c:v>
                </c:pt>
                <c:pt idx="68">
                  <c:v>88.766999999999996</c:v>
                </c:pt>
                <c:pt idx="69">
                  <c:v>68.938000000000002</c:v>
                </c:pt>
                <c:pt idx="70">
                  <c:v>35.783000000000001</c:v>
                </c:pt>
                <c:pt idx="71">
                  <c:v>68.212000000000003</c:v>
                </c:pt>
                <c:pt idx="72">
                  <c:v>55.284999999999997</c:v>
                </c:pt>
                <c:pt idx="73">
                  <c:v>32.976999999999997</c:v>
                </c:pt>
                <c:pt idx="74">
                  <c:v>44.139000000000003</c:v>
                </c:pt>
                <c:pt idx="75">
                  <c:v>24.19</c:v>
                </c:pt>
                <c:pt idx="76">
                  <c:v>11.8</c:v>
                </c:pt>
                <c:pt idx="77">
                  <c:v>41.859000000000002</c:v>
                </c:pt>
                <c:pt idx="78">
                  <c:v>35.222999999999999</c:v>
                </c:pt>
                <c:pt idx="79">
                  <c:v>58.381</c:v>
                </c:pt>
                <c:pt idx="80">
                  <c:v>33.25</c:v>
                </c:pt>
                <c:pt idx="81">
                  <c:v>70.576999999999998</c:v>
                </c:pt>
                <c:pt idx="82">
                  <c:v>37.936999999999998</c:v>
                </c:pt>
                <c:pt idx="83">
                  <c:v>83.709000000000003</c:v>
                </c:pt>
                <c:pt idx="84">
                  <c:v>54.889000000000003</c:v>
                </c:pt>
                <c:pt idx="85">
                  <c:v>59.725999999999999</c:v>
                </c:pt>
                <c:pt idx="86">
                  <c:v>32.404000000000003</c:v>
                </c:pt>
                <c:pt idx="87">
                  <c:v>67.697000000000003</c:v>
                </c:pt>
                <c:pt idx="88">
                  <c:v>73.944999999999993</c:v>
                </c:pt>
                <c:pt idx="89">
                  <c:v>43.927999999999997</c:v>
                </c:pt>
                <c:pt idx="90">
                  <c:v>61.006</c:v>
                </c:pt>
                <c:pt idx="91">
                  <c:v>35.479999999999997</c:v>
                </c:pt>
                <c:pt idx="92">
                  <c:v>68.980999999999995</c:v>
                </c:pt>
                <c:pt idx="93">
                  <c:v>43.146000000000001</c:v>
                </c:pt>
                <c:pt idx="94">
                  <c:v>78.716999999999999</c:v>
                </c:pt>
                <c:pt idx="95">
                  <c:v>25.960999999999999</c:v>
                </c:pt>
                <c:pt idx="96">
                  <c:v>84.213999999999999</c:v>
                </c:pt>
                <c:pt idx="97">
                  <c:v>44.106999999999999</c:v>
                </c:pt>
                <c:pt idx="98">
                  <c:v>66.272000000000006</c:v>
                </c:pt>
                <c:pt idx="99">
                  <c:v>61.655999999999999</c:v>
                </c:pt>
                <c:pt idx="100">
                  <c:v>62.750999999999998</c:v>
                </c:pt>
                <c:pt idx="101">
                  <c:v>67.902000000000001</c:v>
                </c:pt>
                <c:pt idx="102">
                  <c:v>26.847999999999999</c:v>
                </c:pt>
                <c:pt idx="103">
                  <c:v>70.77</c:v>
                </c:pt>
                <c:pt idx="104">
                  <c:v>60.732999999999997</c:v>
                </c:pt>
                <c:pt idx="105">
                  <c:v>40.055</c:v>
                </c:pt>
                <c:pt idx="106">
                  <c:v>105.56</c:v>
                </c:pt>
                <c:pt idx="107">
                  <c:v>76.233000000000004</c:v>
                </c:pt>
                <c:pt idx="108">
                  <c:v>66.096999999999994</c:v>
                </c:pt>
                <c:pt idx="109">
                  <c:v>23.646000000000001</c:v>
                </c:pt>
                <c:pt idx="110">
                  <c:v>27.632999999999999</c:v>
                </c:pt>
                <c:pt idx="111">
                  <c:v>83.396000000000001</c:v>
                </c:pt>
                <c:pt idx="112">
                  <c:v>56.95</c:v>
                </c:pt>
                <c:pt idx="113">
                  <c:v>25.79</c:v>
                </c:pt>
                <c:pt idx="114">
                  <c:v>27.190999999999999</c:v>
                </c:pt>
                <c:pt idx="115">
                  <c:v>60.615000000000002</c:v>
                </c:pt>
                <c:pt idx="116">
                  <c:v>16.399999999999999</c:v>
                </c:pt>
                <c:pt idx="117">
                  <c:v>64.406000000000006</c:v>
                </c:pt>
                <c:pt idx="118">
                  <c:v>79.677999999999997</c:v>
                </c:pt>
                <c:pt idx="119">
                  <c:v>74.650999999999996</c:v>
                </c:pt>
                <c:pt idx="120">
                  <c:v>86.753</c:v>
                </c:pt>
                <c:pt idx="121">
                  <c:v>31.524999999999999</c:v>
                </c:pt>
                <c:pt idx="122">
                  <c:v>34.079000000000001</c:v>
                </c:pt>
                <c:pt idx="123">
                  <c:v>9.74</c:v>
                </c:pt>
                <c:pt idx="124">
                  <c:v>55.662999999999997</c:v>
                </c:pt>
                <c:pt idx="125">
                  <c:v>58.087000000000003</c:v>
                </c:pt>
                <c:pt idx="126">
                  <c:v>45.101999999999997</c:v>
                </c:pt>
                <c:pt idx="127">
                  <c:v>54.357999999999997</c:v>
                </c:pt>
                <c:pt idx="128">
                  <c:v>72.251999999999995</c:v>
                </c:pt>
                <c:pt idx="129">
                  <c:v>16.61</c:v>
                </c:pt>
                <c:pt idx="130">
                  <c:v>21.760999999999999</c:v>
                </c:pt>
                <c:pt idx="131">
                  <c:v>79.548000000000002</c:v>
                </c:pt>
                <c:pt idx="132">
                  <c:v>29.475999999999999</c:v>
                </c:pt>
                <c:pt idx="133">
                  <c:v>16.651</c:v>
                </c:pt>
                <c:pt idx="134">
                  <c:v>39.646999999999998</c:v>
                </c:pt>
                <c:pt idx="135">
                  <c:v>69.522999999999996</c:v>
                </c:pt>
                <c:pt idx="136">
                  <c:v>76.668000000000006</c:v>
                </c:pt>
                <c:pt idx="137">
                  <c:v>137.63999999999999</c:v>
                </c:pt>
                <c:pt idx="138">
                  <c:v>63.89</c:v>
                </c:pt>
                <c:pt idx="139">
                  <c:v>72.155000000000001</c:v>
                </c:pt>
                <c:pt idx="140">
                  <c:v>30.177</c:v>
                </c:pt>
                <c:pt idx="141">
                  <c:v>49.253</c:v>
                </c:pt>
                <c:pt idx="142">
                  <c:v>85.275999999999996</c:v>
                </c:pt>
                <c:pt idx="143">
                  <c:v>45.779000000000003</c:v>
                </c:pt>
                <c:pt idx="144">
                  <c:v>56.048000000000002</c:v>
                </c:pt>
                <c:pt idx="145">
                  <c:v>40.249000000000002</c:v>
                </c:pt>
                <c:pt idx="146">
                  <c:v>88.394000000000005</c:v>
                </c:pt>
                <c:pt idx="147">
                  <c:v>49.506</c:v>
                </c:pt>
                <c:pt idx="148">
                  <c:v>62.095999999999997</c:v>
                </c:pt>
                <c:pt idx="149">
                  <c:v>92.180999999999997</c:v>
                </c:pt>
                <c:pt idx="150">
                  <c:v>45.167000000000002</c:v>
                </c:pt>
                <c:pt idx="151">
                  <c:v>86.382999999999996</c:v>
                </c:pt>
                <c:pt idx="152">
                  <c:v>29.419</c:v>
                </c:pt>
                <c:pt idx="153">
                  <c:v>70.506</c:v>
                </c:pt>
                <c:pt idx="154">
                  <c:v>93.763999999999996</c:v>
                </c:pt>
                <c:pt idx="155">
                  <c:v>6.0190000000000001</c:v>
                </c:pt>
                <c:pt idx="156">
                  <c:v>87.414000000000001</c:v>
                </c:pt>
                <c:pt idx="157">
                  <c:v>61.896000000000001</c:v>
                </c:pt>
                <c:pt idx="158">
                  <c:v>80.953999999999994</c:v>
                </c:pt>
                <c:pt idx="159">
                  <c:v>41.207999999999998</c:v>
                </c:pt>
                <c:pt idx="160">
                  <c:v>18.265000000000001</c:v>
                </c:pt>
                <c:pt idx="161">
                  <c:v>55.404000000000003</c:v>
                </c:pt>
                <c:pt idx="162">
                  <c:v>61.651000000000003</c:v>
                </c:pt>
                <c:pt idx="163">
                  <c:v>83.631</c:v>
                </c:pt>
                <c:pt idx="164">
                  <c:v>134.34700000000001</c:v>
                </c:pt>
                <c:pt idx="165">
                  <c:v>26.457999999999998</c:v>
                </c:pt>
                <c:pt idx="166">
                  <c:v>61.62</c:v>
                </c:pt>
                <c:pt idx="167">
                  <c:v>26.295999999999999</c:v>
                </c:pt>
                <c:pt idx="168">
                  <c:v>39.817</c:v>
                </c:pt>
                <c:pt idx="169">
                  <c:v>88.3</c:v>
                </c:pt>
                <c:pt idx="170">
                  <c:v>78.733000000000004</c:v>
                </c:pt>
                <c:pt idx="171">
                  <c:v>28.933</c:v>
                </c:pt>
                <c:pt idx="172">
                  <c:v>73.225999999999999</c:v>
                </c:pt>
                <c:pt idx="173">
                  <c:v>49.207000000000001</c:v>
                </c:pt>
                <c:pt idx="174">
                  <c:v>31.866</c:v>
                </c:pt>
                <c:pt idx="175">
                  <c:v>7.6269999999999998</c:v>
                </c:pt>
                <c:pt idx="176">
                  <c:v>5.6929999999999996</c:v>
                </c:pt>
                <c:pt idx="177">
                  <c:v>45.558999999999997</c:v>
                </c:pt>
                <c:pt idx="178">
                  <c:v>40.588000000000001</c:v>
                </c:pt>
                <c:pt idx="179">
                  <c:v>74.736000000000004</c:v>
                </c:pt>
                <c:pt idx="180">
                  <c:v>42.247999999999998</c:v>
                </c:pt>
                <c:pt idx="181">
                  <c:v>44.661999999999999</c:v>
                </c:pt>
                <c:pt idx="182">
                  <c:v>45.543999999999997</c:v>
                </c:pt>
                <c:pt idx="183">
                  <c:v>16.702999999999999</c:v>
                </c:pt>
                <c:pt idx="184">
                  <c:v>31.026</c:v>
                </c:pt>
                <c:pt idx="185">
                  <c:v>75.802000000000007</c:v>
                </c:pt>
                <c:pt idx="186">
                  <c:v>56.418999999999997</c:v>
                </c:pt>
                <c:pt idx="187">
                  <c:v>85.94</c:v>
                </c:pt>
                <c:pt idx="188">
                  <c:v>11.473000000000001</c:v>
                </c:pt>
                <c:pt idx="189">
                  <c:v>53.555999999999997</c:v>
                </c:pt>
                <c:pt idx="190">
                  <c:v>32.177</c:v>
                </c:pt>
                <c:pt idx="191">
                  <c:v>21.138000000000002</c:v>
                </c:pt>
                <c:pt idx="192">
                  <c:v>15.818</c:v>
                </c:pt>
                <c:pt idx="193">
                  <c:v>22.971</c:v>
                </c:pt>
                <c:pt idx="194">
                  <c:v>84.477999999999994</c:v>
                </c:pt>
                <c:pt idx="195">
                  <c:v>21.079000000000001</c:v>
                </c:pt>
                <c:pt idx="196">
                  <c:v>46.56</c:v>
                </c:pt>
                <c:pt idx="197">
                  <c:v>74.834000000000003</c:v>
                </c:pt>
                <c:pt idx="198">
                  <c:v>70.63</c:v>
                </c:pt>
                <c:pt idx="199">
                  <c:v>7.8840000000000003</c:v>
                </c:pt>
                <c:pt idx="200">
                  <c:v>58.735999999999997</c:v>
                </c:pt>
                <c:pt idx="201">
                  <c:v>44.814999999999998</c:v>
                </c:pt>
                <c:pt idx="202">
                  <c:v>52.963999999999999</c:v>
                </c:pt>
                <c:pt idx="203">
                  <c:v>47.540999999999997</c:v>
                </c:pt>
                <c:pt idx="204">
                  <c:v>75.210999999999999</c:v>
                </c:pt>
                <c:pt idx="205">
                  <c:v>64.042000000000002</c:v>
                </c:pt>
                <c:pt idx="206">
                  <c:v>54.698</c:v>
                </c:pt>
                <c:pt idx="207">
                  <c:v>58.173000000000002</c:v>
                </c:pt>
                <c:pt idx="208">
                  <c:v>75.878</c:v>
                </c:pt>
                <c:pt idx="209">
                  <c:v>34.79</c:v>
                </c:pt>
                <c:pt idx="210">
                  <c:v>50.582999999999998</c:v>
                </c:pt>
                <c:pt idx="211">
                  <c:v>32.595999999999997</c:v>
                </c:pt>
                <c:pt idx="212">
                  <c:v>61.811999999999998</c:v>
                </c:pt>
                <c:pt idx="213">
                  <c:v>50.414000000000001</c:v>
                </c:pt>
                <c:pt idx="214">
                  <c:v>46.179000000000002</c:v>
                </c:pt>
                <c:pt idx="215">
                  <c:v>41.563000000000002</c:v>
                </c:pt>
                <c:pt idx="216">
                  <c:v>90.54</c:v>
                </c:pt>
                <c:pt idx="217">
                  <c:v>93.213999999999999</c:v>
                </c:pt>
                <c:pt idx="218">
                  <c:v>68.881</c:v>
                </c:pt>
                <c:pt idx="219">
                  <c:v>22.989000000000001</c:v>
                </c:pt>
                <c:pt idx="220">
                  <c:v>59.466999999999999</c:v>
                </c:pt>
                <c:pt idx="221">
                  <c:v>82.37</c:v>
                </c:pt>
                <c:pt idx="222">
                  <c:v>69.116</c:v>
                </c:pt>
                <c:pt idx="223">
                  <c:v>66.632999999999996</c:v>
                </c:pt>
                <c:pt idx="224">
                  <c:v>19.917000000000002</c:v>
                </c:pt>
                <c:pt idx="225">
                  <c:v>34.683999999999997</c:v>
                </c:pt>
                <c:pt idx="226">
                  <c:v>29.614000000000001</c:v>
                </c:pt>
                <c:pt idx="227">
                  <c:v>17.690999999999999</c:v>
                </c:pt>
                <c:pt idx="228">
                  <c:v>8.702</c:v>
                </c:pt>
                <c:pt idx="229">
                  <c:v>53.198</c:v>
                </c:pt>
                <c:pt idx="230">
                  <c:v>59.451999999999998</c:v>
                </c:pt>
                <c:pt idx="231">
                  <c:v>37.430999999999997</c:v>
                </c:pt>
                <c:pt idx="232">
                  <c:v>48.484999999999999</c:v>
                </c:pt>
                <c:pt idx="233">
                  <c:v>48.764000000000003</c:v>
                </c:pt>
                <c:pt idx="234">
                  <c:v>77.566999999999993</c:v>
                </c:pt>
                <c:pt idx="235">
                  <c:v>88.251000000000005</c:v>
                </c:pt>
                <c:pt idx="236">
                  <c:v>29.036999999999999</c:v>
                </c:pt>
                <c:pt idx="237">
                  <c:v>41.875999999999998</c:v>
                </c:pt>
                <c:pt idx="238">
                  <c:v>43.820999999999998</c:v>
                </c:pt>
                <c:pt idx="239">
                  <c:v>78.427000000000007</c:v>
                </c:pt>
                <c:pt idx="240">
                  <c:v>49.826000000000001</c:v>
                </c:pt>
                <c:pt idx="241">
                  <c:v>83.674999999999997</c:v>
                </c:pt>
                <c:pt idx="242">
                  <c:v>46.741999999999997</c:v>
                </c:pt>
                <c:pt idx="243">
                  <c:v>77.100999999999999</c:v>
                </c:pt>
                <c:pt idx="244">
                  <c:v>51.88</c:v>
                </c:pt>
                <c:pt idx="245">
                  <c:v>81.266000000000005</c:v>
                </c:pt>
                <c:pt idx="246">
                  <c:v>31.344999999999999</c:v>
                </c:pt>
                <c:pt idx="247">
                  <c:v>81.611000000000004</c:v>
                </c:pt>
                <c:pt idx="248">
                  <c:v>49.843000000000004</c:v>
                </c:pt>
                <c:pt idx="249">
                  <c:v>19.718</c:v>
                </c:pt>
                <c:pt idx="250">
                  <c:v>27.7</c:v>
                </c:pt>
                <c:pt idx="251">
                  <c:v>45.447000000000003</c:v>
                </c:pt>
                <c:pt idx="252">
                  <c:v>62.951999999999998</c:v>
                </c:pt>
                <c:pt idx="253">
                  <c:v>39.926000000000002</c:v>
                </c:pt>
                <c:pt idx="254">
                  <c:v>26.83</c:v>
                </c:pt>
                <c:pt idx="255">
                  <c:v>47.259</c:v>
                </c:pt>
                <c:pt idx="256">
                  <c:v>63.597999999999999</c:v>
                </c:pt>
                <c:pt idx="257">
                  <c:v>61.579000000000001</c:v>
                </c:pt>
                <c:pt idx="258">
                  <c:v>78.978999999999999</c:v>
                </c:pt>
                <c:pt idx="259">
                  <c:v>78.134</c:v>
                </c:pt>
                <c:pt idx="260">
                  <c:v>14.388999999999999</c:v>
                </c:pt>
                <c:pt idx="261">
                  <c:v>34.430999999999997</c:v>
                </c:pt>
                <c:pt idx="262">
                  <c:v>73.447000000000003</c:v>
                </c:pt>
                <c:pt idx="263">
                  <c:v>108.227</c:v>
                </c:pt>
                <c:pt idx="264">
                  <c:v>68.197999999999993</c:v>
                </c:pt>
                <c:pt idx="265">
                  <c:v>48.252000000000002</c:v>
                </c:pt>
                <c:pt idx="266">
                  <c:v>67.492999999999995</c:v>
                </c:pt>
                <c:pt idx="267">
                  <c:v>8.6549999999999994</c:v>
                </c:pt>
                <c:pt idx="268">
                  <c:v>122.913</c:v>
                </c:pt>
                <c:pt idx="269">
                  <c:v>81.756</c:v>
                </c:pt>
                <c:pt idx="270">
                  <c:v>76.995999999999995</c:v>
                </c:pt>
                <c:pt idx="271">
                  <c:v>40.551000000000002</c:v>
                </c:pt>
                <c:pt idx="272">
                  <c:v>56.929000000000002</c:v>
                </c:pt>
                <c:pt idx="273">
                  <c:v>58.874000000000002</c:v>
                </c:pt>
                <c:pt idx="274">
                  <c:v>10.159000000000001</c:v>
                </c:pt>
                <c:pt idx="275">
                  <c:v>37.042999999999999</c:v>
                </c:pt>
                <c:pt idx="276">
                  <c:v>53.613</c:v>
                </c:pt>
                <c:pt idx="277">
                  <c:v>46.360999999999997</c:v>
                </c:pt>
                <c:pt idx="278">
                  <c:v>55.649000000000001</c:v>
                </c:pt>
                <c:pt idx="279">
                  <c:v>32.064999999999998</c:v>
                </c:pt>
                <c:pt idx="280">
                  <c:v>8.5210000000000008</c:v>
                </c:pt>
                <c:pt idx="281">
                  <c:v>31.047999999999998</c:v>
                </c:pt>
                <c:pt idx="282">
                  <c:v>15.81</c:v>
                </c:pt>
                <c:pt idx="283">
                  <c:v>52.011000000000003</c:v>
                </c:pt>
                <c:pt idx="284">
                  <c:v>19.332999999999998</c:v>
                </c:pt>
                <c:pt idx="285">
                  <c:v>22.359000000000002</c:v>
                </c:pt>
                <c:pt idx="286">
                  <c:v>23.946000000000002</c:v>
                </c:pt>
                <c:pt idx="287">
                  <c:v>49.584000000000003</c:v>
                </c:pt>
                <c:pt idx="288">
                  <c:v>17.37</c:v>
                </c:pt>
                <c:pt idx="289">
                  <c:v>37.393000000000001</c:v>
                </c:pt>
                <c:pt idx="290">
                  <c:v>79.382000000000005</c:v>
                </c:pt>
                <c:pt idx="291">
                  <c:v>48.103000000000002</c:v>
                </c:pt>
                <c:pt idx="292">
                  <c:v>33.335999999999999</c:v>
                </c:pt>
                <c:pt idx="293">
                  <c:v>80.941000000000003</c:v>
                </c:pt>
                <c:pt idx="294">
                  <c:v>38.837000000000003</c:v>
                </c:pt>
                <c:pt idx="295">
                  <c:v>80.108999999999995</c:v>
                </c:pt>
                <c:pt idx="296">
                  <c:v>84.346000000000004</c:v>
                </c:pt>
                <c:pt idx="297">
                  <c:v>38.698</c:v>
                </c:pt>
                <c:pt idx="298">
                  <c:v>53.28</c:v>
                </c:pt>
                <c:pt idx="299">
                  <c:v>66.981999999999999</c:v>
                </c:pt>
                <c:pt idx="300">
                  <c:v>21.126999999999999</c:v>
                </c:pt>
                <c:pt idx="301">
                  <c:v>21.079000000000001</c:v>
                </c:pt>
                <c:pt idx="302">
                  <c:v>14.46</c:v>
                </c:pt>
                <c:pt idx="303">
                  <c:v>39.276000000000003</c:v>
                </c:pt>
                <c:pt idx="304">
                  <c:v>89.844999999999999</c:v>
                </c:pt>
                <c:pt idx="305">
                  <c:v>75.736000000000004</c:v>
                </c:pt>
                <c:pt idx="306">
                  <c:v>38.142000000000003</c:v>
                </c:pt>
                <c:pt idx="307">
                  <c:v>7.3719999999999999</c:v>
                </c:pt>
                <c:pt idx="308">
                  <c:v>54.445999999999998</c:v>
                </c:pt>
                <c:pt idx="309">
                  <c:v>73.381</c:v>
                </c:pt>
                <c:pt idx="310">
                  <c:v>88.269000000000005</c:v>
                </c:pt>
                <c:pt idx="311">
                  <c:v>52.216000000000001</c:v>
                </c:pt>
                <c:pt idx="312">
                  <c:v>65.174000000000007</c:v>
                </c:pt>
                <c:pt idx="313">
                  <c:v>12.454000000000001</c:v>
                </c:pt>
                <c:pt idx="314">
                  <c:v>30.308</c:v>
                </c:pt>
                <c:pt idx="315">
                  <c:v>21.396000000000001</c:v>
                </c:pt>
                <c:pt idx="316">
                  <c:v>28.696999999999999</c:v>
                </c:pt>
                <c:pt idx="317">
                  <c:v>108.714</c:v>
                </c:pt>
                <c:pt idx="318">
                  <c:v>41.234999999999999</c:v>
                </c:pt>
                <c:pt idx="319">
                  <c:v>54.036999999999999</c:v>
                </c:pt>
                <c:pt idx="320">
                  <c:v>24.859000000000002</c:v>
                </c:pt>
                <c:pt idx="321">
                  <c:v>34.957000000000001</c:v>
                </c:pt>
                <c:pt idx="322">
                  <c:v>70.081000000000003</c:v>
                </c:pt>
                <c:pt idx="323">
                  <c:v>56.091000000000001</c:v>
                </c:pt>
                <c:pt idx="324">
                  <c:v>64.025000000000006</c:v>
                </c:pt>
                <c:pt idx="325">
                  <c:v>22.879000000000001</c:v>
                </c:pt>
                <c:pt idx="326">
                  <c:v>7.2770000000000001</c:v>
                </c:pt>
                <c:pt idx="327">
                  <c:v>56.250999999999998</c:v>
                </c:pt>
                <c:pt idx="328">
                  <c:v>22.423999999999999</c:v>
                </c:pt>
                <c:pt idx="329">
                  <c:v>31.222999999999999</c:v>
                </c:pt>
                <c:pt idx="330">
                  <c:v>67.263999999999996</c:v>
                </c:pt>
                <c:pt idx="331">
                  <c:v>37.622</c:v>
                </c:pt>
                <c:pt idx="332">
                  <c:v>32.847000000000001</c:v>
                </c:pt>
                <c:pt idx="333">
                  <c:v>38.247999999999998</c:v>
                </c:pt>
                <c:pt idx="334">
                  <c:v>20.559000000000001</c:v>
                </c:pt>
                <c:pt idx="335">
                  <c:v>47.703000000000003</c:v>
                </c:pt>
                <c:pt idx="336">
                  <c:v>25.73</c:v>
                </c:pt>
                <c:pt idx="337">
                  <c:v>65.188000000000002</c:v>
                </c:pt>
                <c:pt idx="338">
                  <c:v>69.259</c:v>
                </c:pt>
                <c:pt idx="339">
                  <c:v>21.105</c:v>
                </c:pt>
                <c:pt idx="340">
                  <c:v>83.373000000000005</c:v>
                </c:pt>
                <c:pt idx="341">
                  <c:v>49.087000000000003</c:v>
                </c:pt>
                <c:pt idx="342">
                  <c:v>31.585000000000001</c:v>
                </c:pt>
                <c:pt idx="343">
                  <c:v>8.7080000000000002</c:v>
                </c:pt>
                <c:pt idx="344">
                  <c:v>29.417000000000002</c:v>
                </c:pt>
                <c:pt idx="345">
                  <c:v>63.65</c:v>
                </c:pt>
                <c:pt idx="346">
                  <c:v>37.139000000000003</c:v>
                </c:pt>
                <c:pt idx="347">
                  <c:v>59.518999999999998</c:v>
                </c:pt>
                <c:pt idx="348">
                  <c:v>53.723999999999997</c:v>
                </c:pt>
                <c:pt idx="349">
                  <c:v>36.396000000000001</c:v>
                </c:pt>
                <c:pt idx="350">
                  <c:v>28.404</c:v>
                </c:pt>
                <c:pt idx="351">
                  <c:v>56.265999999999998</c:v>
                </c:pt>
                <c:pt idx="352">
                  <c:v>65.697000000000003</c:v>
                </c:pt>
                <c:pt idx="353">
                  <c:v>56.802999999999997</c:v>
                </c:pt>
                <c:pt idx="354">
                  <c:v>68.638000000000005</c:v>
                </c:pt>
                <c:pt idx="355">
                  <c:v>67.024000000000001</c:v>
                </c:pt>
                <c:pt idx="356">
                  <c:v>23.2</c:v>
                </c:pt>
                <c:pt idx="357">
                  <c:v>49.152999999999999</c:v>
                </c:pt>
                <c:pt idx="358">
                  <c:v>52.996000000000002</c:v>
                </c:pt>
                <c:pt idx="359">
                  <c:v>26.882000000000001</c:v>
                </c:pt>
                <c:pt idx="360">
                  <c:v>52.482999999999997</c:v>
                </c:pt>
                <c:pt idx="361">
                  <c:v>55.899000000000001</c:v>
                </c:pt>
                <c:pt idx="362">
                  <c:v>45.930999999999997</c:v>
                </c:pt>
                <c:pt idx="363">
                  <c:v>44.101999999999997</c:v>
                </c:pt>
                <c:pt idx="364">
                  <c:v>56.399000000000001</c:v>
                </c:pt>
                <c:pt idx="365">
                  <c:v>28.715</c:v>
                </c:pt>
                <c:pt idx="366">
                  <c:v>68.61</c:v>
                </c:pt>
                <c:pt idx="367">
                  <c:v>46.334000000000003</c:v>
                </c:pt>
                <c:pt idx="368">
                  <c:v>52.887</c:v>
                </c:pt>
                <c:pt idx="369">
                  <c:v>60.918999999999997</c:v>
                </c:pt>
                <c:pt idx="370">
                  <c:v>58.548000000000002</c:v>
                </c:pt>
                <c:pt idx="371">
                  <c:v>66.304000000000002</c:v>
                </c:pt>
                <c:pt idx="372">
                  <c:v>50.298000000000002</c:v>
                </c:pt>
                <c:pt idx="373">
                  <c:v>68.683000000000007</c:v>
                </c:pt>
                <c:pt idx="374">
                  <c:v>47.271999999999998</c:v>
                </c:pt>
                <c:pt idx="375">
                  <c:v>22.423999999999999</c:v>
                </c:pt>
                <c:pt idx="376">
                  <c:v>36.564</c:v>
                </c:pt>
                <c:pt idx="377">
                  <c:v>13.78</c:v>
                </c:pt>
                <c:pt idx="378">
                  <c:v>55.085999999999999</c:v>
                </c:pt>
                <c:pt idx="379">
                  <c:v>31.138999999999999</c:v>
                </c:pt>
                <c:pt idx="380">
                  <c:v>60.865000000000002</c:v>
                </c:pt>
                <c:pt idx="381">
                  <c:v>53.237000000000002</c:v>
                </c:pt>
                <c:pt idx="382">
                  <c:v>10.146000000000001</c:v>
                </c:pt>
                <c:pt idx="383">
                  <c:v>42.595999999999997</c:v>
                </c:pt>
                <c:pt idx="384">
                  <c:v>39.588000000000001</c:v>
                </c:pt>
                <c:pt idx="385">
                  <c:v>28.082000000000001</c:v>
                </c:pt>
                <c:pt idx="386">
                  <c:v>47.07</c:v>
                </c:pt>
                <c:pt idx="387">
                  <c:v>47.037999999999997</c:v>
                </c:pt>
                <c:pt idx="388">
                  <c:v>38.031999999999996</c:v>
                </c:pt>
                <c:pt idx="389">
                  <c:v>61.677</c:v>
                </c:pt>
                <c:pt idx="390">
                  <c:v>29.225000000000001</c:v>
                </c:pt>
                <c:pt idx="391">
                  <c:v>53.48</c:v>
                </c:pt>
                <c:pt idx="392">
                  <c:v>36.409999999999997</c:v>
                </c:pt>
                <c:pt idx="393">
                  <c:v>33.863</c:v>
                </c:pt>
                <c:pt idx="394">
                  <c:v>93.712999999999994</c:v>
                </c:pt>
                <c:pt idx="395">
                  <c:v>47.353000000000002</c:v>
                </c:pt>
                <c:pt idx="396">
                  <c:v>19.672999999999998</c:v>
                </c:pt>
                <c:pt idx="397">
                  <c:v>123.724</c:v>
                </c:pt>
                <c:pt idx="398">
                  <c:v>12.815</c:v>
                </c:pt>
                <c:pt idx="399">
                  <c:v>22.757000000000001</c:v>
                </c:pt>
              </c:numCache>
            </c:numRef>
          </c:xVal>
          <c:yVal>
            <c:numRef>
              <c:f>'Q2(a)'!$B$2:$B$401</c:f>
              <c:numCache>
                <c:formatCode>General</c:formatCode>
                <c:ptCount val="400"/>
                <c:pt idx="0">
                  <c:v>19</c:v>
                </c:pt>
                <c:pt idx="1">
                  <c:v>11</c:v>
                </c:pt>
                <c:pt idx="2">
                  <c:v>74</c:v>
                </c:pt>
                <c:pt idx="3">
                  <c:v>97</c:v>
                </c:pt>
                <c:pt idx="4">
                  <c:v>10</c:v>
                </c:pt>
                <c:pt idx="5">
                  <c:v>104</c:v>
                </c:pt>
                <c:pt idx="6">
                  <c:v>97</c:v>
                </c:pt>
                <c:pt idx="7">
                  <c:v>38</c:v>
                </c:pt>
                <c:pt idx="8">
                  <c:v>58</c:v>
                </c:pt>
                <c:pt idx="9">
                  <c:v>88</c:v>
                </c:pt>
                <c:pt idx="10">
                  <c:v>36</c:v>
                </c:pt>
                <c:pt idx="11">
                  <c:v>45</c:v>
                </c:pt>
                <c:pt idx="12">
                  <c:v>51</c:v>
                </c:pt>
                <c:pt idx="13">
                  <c:v>48</c:v>
                </c:pt>
                <c:pt idx="14">
                  <c:v>41</c:v>
                </c:pt>
                <c:pt idx="15">
                  <c:v>71</c:v>
                </c:pt>
                <c:pt idx="16">
                  <c:v>48</c:v>
                </c:pt>
                <c:pt idx="17">
                  <c:v>18</c:v>
                </c:pt>
                <c:pt idx="18">
                  <c:v>31</c:v>
                </c:pt>
                <c:pt idx="19">
                  <c:v>43</c:v>
                </c:pt>
                <c:pt idx="20">
                  <c:v>50</c:v>
                </c:pt>
                <c:pt idx="21">
                  <c:v>75</c:v>
                </c:pt>
                <c:pt idx="22">
                  <c:v>31</c:v>
                </c:pt>
                <c:pt idx="23">
                  <c:v>64</c:v>
                </c:pt>
                <c:pt idx="24">
                  <c:v>40</c:v>
                </c:pt>
                <c:pt idx="25">
                  <c:v>62</c:v>
                </c:pt>
                <c:pt idx="26">
                  <c:v>13</c:v>
                </c:pt>
                <c:pt idx="27">
                  <c:v>68</c:v>
                </c:pt>
                <c:pt idx="28">
                  <c:v>68</c:v>
                </c:pt>
                <c:pt idx="29">
                  <c:v>32</c:v>
                </c:pt>
                <c:pt idx="30">
                  <c:v>51</c:v>
                </c:pt>
                <c:pt idx="31">
                  <c:v>39</c:v>
                </c:pt>
                <c:pt idx="32">
                  <c:v>48</c:v>
                </c:pt>
                <c:pt idx="33">
                  <c:v>12</c:v>
                </c:pt>
                <c:pt idx="34">
                  <c:v>101</c:v>
                </c:pt>
                <c:pt idx="35">
                  <c:v>18</c:v>
                </c:pt>
                <c:pt idx="36">
                  <c:v>12</c:v>
                </c:pt>
                <c:pt idx="37">
                  <c:v>36</c:v>
                </c:pt>
                <c:pt idx="38">
                  <c:v>51</c:v>
                </c:pt>
                <c:pt idx="39">
                  <c:v>43</c:v>
                </c:pt>
                <c:pt idx="40">
                  <c:v>14</c:v>
                </c:pt>
                <c:pt idx="41">
                  <c:v>26</c:v>
                </c:pt>
                <c:pt idx="42">
                  <c:v>32</c:v>
                </c:pt>
                <c:pt idx="43">
                  <c:v>22</c:v>
                </c:pt>
                <c:pt idx="44">
                  <c:v>80</c:v>
                </c:pt>
                <c:pt idx="45">
                  <c:v>58</c:v>
                </c:pt>
                <c:pt idx="46">
                  <c:v>88</c:v>
                </c:pt>
                <c:pt idx="47">
                  <c:v>98</c:v>
                </c:pt>
                <c:pt idx="48">
                  <c:v>27</c:v>
                </c:pt>
                <c:pt idx="49">
                  <c:v>43</c:v>
                </c:pt>
                <c:pt idx="50">
                  <c:v>90</c:v>
                </c:pt>
                <c:pt idx="51">
                  <c:v>89</c:v>
                </c:pt>
                <c:pt idx="52">
                  <c:v>14</c:v>
                </c:pt>
                <c:pt idx="53">
                  <c:v>75</c:v>
                </c:pt>
                <c:pt idx="54">
                  <c:v>14</c:v>
                </c:pt>
                <c:pt idx="55">
                  <c:v>25</c:v>
                </c:pt>
                <c:pt idx="56">
                  <c:v>18</c:v>
                </c:pt>
                <c:pt idx="57">
                  <c:v>68</c:v>
                </c:pt>
                <c:pt idx="58">
                  <c:v>100</c:v>
                </c:pt>
                <c:pt idx="59">
                  <c:v>42</c:v>
                </c:pt>
                <c:pt idx="60">
                  <c:v>50</c:v>
                </c:pt>
                <c:pt idx="61">
                  <c:v>31</c:v>
                </c:pt>
                <c:pt idx="62">
                  <c:v>40</c:v>
                </c:pt>
                <c:pt idx="63">
                  <c:v>15</c:v>
                </c:pt>
                <c:pt idx="64">
                  <c:v>84</c:v>
                </c:pt>
                <c:pt idx="65">
                  <c:v>71</c:v>
                </c:pt>
                <c:pt idx="66">
                  <c:v>57</c:v>
                </c:pt>
                <c:pt idx="67">
                  <c:v>8</c:v>
                </c:pt>
                <c:pt idx="68">
                  <c:v>96</c:v>
                </c:pt>
                <c:pt idx="69">
                  <c:v>57</c:v>
                </c:pt>
                <c:pt idx="70">
                  <c:v>19</c:v>
                </c:pt>
                <c:pt idx="71">
                  <c:v>48</c:v>
                </c:pt>
                <c:pt idx="72">
                  <c:v>53</c:v>
                </c:pt>
                <c:pt idx="73">
                  <c:v>44</c:v>
                </c:pt>
                <c:pt idx="74">
                  <c:v>80</c:v>
                </c:pt>
                <c:pt idx="75">
                  <c:v>20</c:v>
                </c:pt>
                <c:pt idx="76">
                  <c:v>38</c:v>
                </c:pt>
                <c:pt idx="77">
                  <c:v>36</c:v>
                </c:pt>
                <c:pt idx="78">
                  <c:v>41</c:v>
                </c:pt>
                <c:pt idx="79">
                  <c:v>83</c:v>
                </c:pt>
                <c:pt idx="80">
                  <c:v>74</c:v>
                </c:pt>
                <c:pt idx="81">
                  <c:v>99</c:v>
                </c:pt>
                <c:pt idx="82">
                  <c:v>44</c:v>
                </c:pt>
                <c:pt idx="83">
                  <c:v>45</c:v>
                </c:pt>
                <c:pt idx="84">
                  <c:v>33</c:v>
                </c:pt>
                <c:pt idx="85">
                  <c:v>67</c:v>
                </c:pt>
                <c:pt idx="86">
                  <c:v>18</c:v>
                </c:pt>
                <c:pt idx="87">
                  <c:v>38</c:v>
                </c:pt>
                <c:pt idx="88">
                  <c:v>90</c:v>
                </c:pt>
                <c:pt idx="89">
                  <c:v>49</c:v>
                </c:pt>
                <c:pt idx="90">
                  <c:v>63</c:v>
                </c:pt>
                <c:pt idx="91">
                  <c:v>8</c:v>
                </c:pt>
                <c:pt idx="92">
                  <c:v>49</c:v>
                </c:pt>
                <c:pt idx="93">
                  <c:v>20</c:v>
                </c:pt>
                <c:pt idx="94">
                  <c:v>89</c:v>
                </c:pt>
                <c:pt idx="95">
                  <c:v>83</c:v>
                </c:pt>
                <c:pt idx="96">
                  <c:v>26</c:v>
                </c:pt>
                <c:pt idx="97">
                  <c:v>42</c:v>
                </c:pt>
                <c:pt idx="98">
                  <c:v>43</c:v>
                </c:pt>
                <c:pt idx="99">
                  <c:v>46</c:v>
                </c:pt>
                <c:pt idx="100">
                  <c:v>30</c:v>
                </c:pt>
                <c:pt idx="101">
                  <c:v>32</c:v>
                </c:pt>
                <c:pt idx="102">
                  <c:v>6</c:v>
                </c:pt>
                <c:pt idx="103">
                  <c:v>85</c:v>
                </c:pt>
                <c:pt idx="104">
                  <c:v>78</c:v>
                </c:pt>
                <c:pt idx="105">
                  <c:v>42</c:v>
                </c:pt>
                <c:pt idx="106">
                  <c:v>42</c:v>
                </c:pt>
                <c:pt idx="107">
                  <c:v>5</c:v>
                </c:pt>
                <c:pt idx="108">
                  <c:v>60</c:v>
                </c:pt>
                <c:pt idx="109">
                  <c:v>14</c:v>
                </c:pt>
                <c:pt idx="110">
                  <c:v>17</c:v>
                </c:pt>
                <c:pt idx="111">
                  <c:v>108</c:v>
                </c:pt>
                <c:pt idx="112">
                  <c:v>75</c:v>
                </c:pt>
                <c:pt idx="113">
                  <c:v>52</c:v>
                </c:pt>
                <c:pt idx="114">
                  <c:v>32</c:v>
                </c:pt>
                <c:pt idx="115">
                  <c:v>65</c:v>
                </c:pt>
                <c:pt idx="116">
                  <c:v>57</c:v>
                </c:pt>
                <c:pt idx="117">
                  <c:v>52</c:v>
                </c:pt>
                <c:pt idx="118">
                  <c:v>49</c:v>
                </c:pt>
                <c:pt idx="119">
                  <c:v>55</c:v>
                </c:pt>
                <c:pt idx="120">
                  <c:v>107</c:v>
                </c:pt>
                <c:pt idx="121">
                  <c:v>13</c:v>
                </c:pt>
                <c:pt idx="122">
                  <c:v>29</c:v>
                </c:pt>
                <c:pt idx="123">
                  <c:v>10</c:v>
                </c:pt>
                <c:pt idx="124">
                  <c:v>73</c:v>
                </c:pt>
                <c:pt idx="125">
                  <c:v>89</c:v>
                </c:pt>
                <c:pt idx="126">
                  <c:v>11</c:v>
                </c:pt>
                <c:pt idx="127">
                  <c:v>46</c:v>
                </c:pt>
                <c:pt idx="128">
                  <c:v>101</c:v>
                </c:pt>
                <c:pt idx="129">
                  <c:v>15</c:v>
                </c:pt>
                <c:pt idx="130">
                  <c:v>85</c:v>
                </c:pt>
                <c:pt idx="131">
                  <c:v>27</c:v>
                </c:pt>
                <c:pt idx="132">
                  <c:v>55</c:v>
                </c:pt>
                <c:pt idx="133">
                  <c:v>87</c:v>
                </c:pt>
                <c:pt idx="134">
                  <c:v>46</c:v>
                </c:pt>
                <c:pt idx="135">
                  <c:v>81</c:v>
                </c:pt>
                <c:pt idx="136">
                  <c:v>68</c:v>
                </c:pt>
                <c:pt idx="137">
                  <c:v>87</c:v>
                </c:pt>
                <c:pt idx="138">
                  <c:v>73</c:v>
                </c:pt>
                <c:pt idx="139">
                  <c:v>106</c:v>
                </c:pt>
                <c:pt idx="140">
                  <c:v>26</c:v>
                </c:pt>
                <c:pt idx="141">
                  <c:v>39</c:v>
                </c:pt>
                <c:pt idx="142">
                  <c:v>105</c:v>
                </c:pt>
                <c:pt idx="143">
                  <c:v>51</c:v>
                </c:pt>
                <c:pt idx="144">
                  <c:v>67</c:v>
                </c:pt>
                <c:pt idx="145">
                  <c:v>45</c:v>
                </c:pt>
                <c:pt idx="146">
                  <c:v>24</c:v>
                </c:pt>
                <c:pt idx="147">
                  <c:v>37</c:v>
                </c:pt>
                <c:pt idx="148">
                  <c:v>76</c:v>
                </c:pt>
                <c:pt idx="149">
                  <c:v>9</c:v>
                </c:pt>
                <c:pt idx="150">
                  <c:v>31</c:v>
                </c:pt>
                <c:pt idx="151">
                  <c:v>34</c:v>
                </c:pt>
                <c:pt idx="152">
                  <c:v>47</c:v>
                </c:pt>
                <c:pt idx="153">
                  <c:v>78</c:v>
                </c:pt>
                <c:pt idx="154">
                  <c:v>101</c:v>
                </c:pt>
                <c:pt idx="155">
                  <c:v>51</c:v>
                </c:pt>
                <c:pt idx="156">
                  <c:v>108</c:v>
                </c:pt>
                <c:pt idx="157">
                  <c:v>50</c:v>
                </c:pt>
                <c:pt idx="158">
                  <c:v>10</c:v>
                </c:pt>
                <c:pt idx="159">
                  <c:v>30</c:v>
                </c:pt>
                <c:pt idx="160">
                  <c:v>64</c:v>
                </c:pt>
                <c:pt idx="161">
                  <c:v>60</c:v>
                </c:pt>
                <c:pt idx="162">
                  <c:v>62</c:v>
                </c:pt>
                <c:pt idx="163">
                  <c:v>78</c:v>
                </c:pt>
                <c:pt idx="164">
                  <c:v>62</c:v>
                </c:pt>
                <c:pt idx="165">
                  <c:v>11</c:v>
                </c:pt>
                <c:pt idx="166">
                  <c:v>70</c:v>
                </c:pt>
                <c:pt idx="167">
                  <c:v>7</c:v>
                </c:pt>
                <c:pt idx="168">
                  <c:v>25</c:v>
                </c:pt>
                <c:pt idx="169">
                  <c:v>64</c:v>
                </c:pt>
                <c:pt idx="170">
                  <c:v>90</c:v>
                </c:pt>
                <c:pt idx="171">
                  <c:v>37</c:v>
                </c:pt>
                <c:pt idx="172">
                  <c:v>59</c:v>
                </c:pt>
                <c:pt idx="173">
                  <c:v>32</c:v>
                </c:pt>
                <c:pt idx="174">
                  <c:v>92</c:v>
                </c:pt>
                <c:pt idx="175">
                  <c:v>27</c:v>
                </c:pt>
                <c:pt idx="176">
                  <c:v>81</c:v>
                </c:pt>
                <c:pt idx="177">
                  <c:v>82</c:v>
                </c:pt>
                <c:pt idx="178">
                  <c:v>73</c:v>
                </c:pt>
                <c:pt idx="179">
                  <c:v>51</c:v>
                </c:pt>
                <c:pt idx="180">
                  <c:v>66</c:v>
                </c:pt>
                <c:pt idx="181">
                  <c:v>39</c:v>
                </c:pt>
                <c:pt idx="182">
                  <c:v>30</c:v>
                </c:pt>
                <c:pt idx="183">
                  <c:v>33</c:v>
                </c:pt>
                <c:pt idx="184">
                  <c:v>44</c:v>
                </c:pt>
                <c:pt idx="185">
                  <c:v>90</c:v>
                </c:pt>
                <c:pt idx="186">
                  <c:v>63</c:v>
                </c:pt>
                <c:pt idx="187">
                  <c:v>55</c:v>
                </c:pt>
                <c:pt idx="188">
                  <c:v>32</c:v>
                </c:pt>
                <c:pt idx="189">
                  <c:v>70</c:v>
                </c:pt>
                <c:pt idx="190">
                  <c:v>24</c:v>
                </c:pt>
                <c:pt idx="191">
                  <c:v>18</c:v>
                </c:pt>
                <c:pt idx="192">
                  <c:v>63</c:v>
                </c:pt>
                <c:pt idx="193">
                  <c:v>106</c:v>
                </c:pt>
                <c:pt idx="194">
                  <c:v>70</c:v>
                </c:pt>
                <c:pt idx="195">
                  <c:v>116</c:v>
                </c:pt>
                <c:pt idx="196">
                  <c:v>129</c:v>
                </c:pt>
                <c:pt idx="197">
                  <c:v>102</c:v>
                </c:pt>
                <c:pt idx="198">
                  <c:v>57</c:v>
                </c:pt>
                <c:pt idx="199">
                  <c:v>17</c:v>
                </c:pt>
                <c:pt idx="200">
                  <c:v>38</c:v>
                </c:pt>
                <c:pt idx="201">
                  <c:v>91</c:v>
                </c:pt>
                <c:pt idx="202">
                  <c:v>32</c:v>
                </c:pt>
                <c:pt idx="203">
                  <c:v>71</c:v>
                </c:pt>
                <c:pt idx="204">
                  <c:v>17</c:v>
                </c:pt>
                <c:pt idx="205">
                  <c:v>56</c:v>
                </c:pt>
                <c:pt idx="206">
                  <c:v>36</c:v>
                </c:pt>
                <c:pt idx="207">
                  <c:v>138</c:v>
                </c:pt>
                <c:pt idx="208">
                  <c:v>43</c:v>
                </c:pt>
                <c:pt idx="209">
                  <c:v>31</c:v>
                </c:pt>
                <c:pt idx="210">
                  <c:v>47</c:v>
                </c:pt>
                <c:pt idx="211">
                  <c:v>15</c:v>
                </c:pt>
                <c:pt idx="212">
                  <c:v>71</c:v>
                </c:pt>
                <c:pt idx="213">
                  <c:v>94</c:v>
                </c:pt>
                <c:pt idx="214">
                  <c:v>58</c:v>
                </c:pt>
                <c:pt idx="215">
                  <c:v>72</c:v>
                </c:pt>
                <c:pt idx="216">
                  <c:v>83</c:v>
                </c:pt>
                <c:pt idx="217">
                  <c:v>79</c:v>
                </c:pt>
                <c:pt idx="218">
                  <c:v>19</c:v>
                </c:pt>
                <c:pt idx="219">
                  <c:v>25</c:v>
                </c:pt>
                <c:pt idx="220">
                  <c:v>17</c:v>
                </c:pt>
                <c:pt idx="221">
                  <c:v>100</c:v>
                </c:pt>
                <c:pt idx="222">
                  <c:v>15</c:v>
                </c:pt>
                <c:pt idx="223">
                  <c:v>86</c:v>
                </c:pt>
                <c:pt idx="224">
                  <c:v>139</c:v>
                </c:pt>
                <c:pt idx="225">
                  <c:v>97</c:v>
                </c:pt>
                <c:pt idx="226">
                  <c:v>6</c:v>
                </c:pt>
                <c:pt idx="227">
                  <c:v>25</c:v>
                </c:pt>
                <c:pt idx="228">
                  <c:v>150</c:v>
                </c:pt>
                <c:pt idx="229">
                  <c:v>72</c:v>
                </c:pt>
                <c:pt idx="230">
                  <c:v>114</c:v>
                </c:pt>
                <c:pt idx="231">
                  <c:v>75</c:v>
                </c:pt>
                <c:pt idx="232">
                  <c:v>17</c:v>
                </c:pt>
                <c:pt idx="233">
                  <c:v>52</c:v>
                </c:pt>
                <c:pt idx="234">
                  <c:v>29</c:v>
                </c:pt>
                <c:pt idx="235">
                  <c:v>106</c:v>
                </c:pt>
                <c:pt idx="236">
                  <c:v>24</c:v>
                </c:pt>
                <c:pt idx="237">
                  <c:v>35</c:v>
                </c:pt>
                <c:pt idx="238">
                  <c:v>27</c:v>
                </c:pt>
                <c:pt idx="239">
                  <c:v>103</c:v>
                </c:pt>
                <c:pt idx="240">
                  <c:v>22</c:v>
                </c:pt>
                <c:pt idx="241">
                  <c:v>69</c:v>
                </c:pt>
                <c:pt idx="242">
                  <c:v>41</c:v>
                </c:pt>
                <c:pt idx="243">
                  <c:v>82</c:v>
                </c:pt>
                <c:pt idx="244">
                  <c:v>34</c:v>
                </c:pt>
                <c:pt idx="245">
                  <c:v>30</c:v>
                </c:pt>
                <c:pt idx="246">
                  <c:v>47</c:v>
                </c:pt>
                <c:pt idx="247">
                  <c:v>115</c:v>
                </c:pt>
                <c:pt idx="248">
                  <c:v>19</c:v>
                </c:pt>
                <c:pt idx="249">
                  <c:v>80</c:v>
                </c:pt>
                <c:pt idx="250">
                  <c:v>59</c:v>
                </c:pt>
                <c:pt idx="251">
                  <c:v>44</c:v>
                </c:pt>
                <c:pt idx="252">
                  <c:v>55</c:v>
                </c:pt>
                <c:pt idx="253">
                  <c:v>48</c:v>
                </c:pt>
                <c:pt idx="254">
                  <c:v>23</c:v>
                </c:pt>
                <c:pt idx="255">
                  <c:v>13</c:v>
                </c:pt>
                <c:pt idx="256">
                  <c:v>34</c:v>
                </c:pt>
                <c:pt idx="257">
                  <c:v>43</c:v>
                </c:pt>
                <c:pt idx="258">
                  <c:v>42</c:v>
                </c:pt>
                <c:pt idx="259">
                  <c:v>63</c:v>
                </c:pt>
                <c:pt idx="260">
                  <c:v>43</c:v>
                </c:pt>
                <c:pt idx="261">
                  <c:v>12</c:v>
                </c:pt>
                <c:pt idx="262">
                  <c:v>50</c:v>
                </c:pt>
                <c:pt idx="263">
                  <c:v>109</c:v>
                </c:pt>
                <c:pt idx="264">
                  <c:v>90</c:v>
                </c:pt>
                <c:pt idx="265">
                  <c:v>63</c:v>
                </c:pt>
                <c:pt idx="266">
                  <c:v>5</c:v>
                </c:pt>
                <c:pt idx="267">
                  <c:v>18</c:v>
                </c:pt>
                <c:pt idx="268">
                  <c:v>82</c:v>
                </c:pt>
                <c:pt idx="269">
                  <c:v>91</c:v>
                </c:pt>
                <c:pt idx="270">
                  <c:v>64</c:v>
                </c:pt>
                <c:pt idx="271">
                  <c:v>29</c:v>
                </c:pt>
                <c:pt idx="272">
                  <c:v>59</c:v>
                </c:pt>
                <c:pt idx="273">
                  <c:v>64</c:v>
                </c:pt>
                <c:pt idx="274">
                  <c:v>9</c:v>
                </c:pt>
                <c:pt idx="275">
                  <c:v>40</c:v>
                </c:pt>
                <c:pt idx="276">
                  <c:v>80</c:v>
                </c:pt>
                <c:pt idx="277">
                  <c:v>49</c:v>
                </c:pt>
                <c:pt idx="278">
                  <c:v>53</c:v>
                </c:pt>
                <c:pt idx="279">
                  <c:v>33</c:v>
                </c:pt>
                <c:pt idx="280">
                  <c:v>14</c:v>
                </c:pt>
                <c:pt idx="281">
                  <c:v>48</c:v>
                </c:pt>
                <c:pt idx="282">
                  <c:v>24</c:v>
                </c:pt>
                <c:pt idx="283">
                  <c:v>40</c:v>
                </c:pt>
                <c:pt idx="284">
                  <c:v>11</c:v>
                </c:pt>
                <c:pt idx="285">
                  <c:v>39</c:v>
                </c:pt>
                <c:pt idx="286">
                  <c:v>10</c:v>
                </c:pt>
                <c:pt idx="287">
                  <c:v>48</c:v>
                </c:pt>
                <c:pt idx="288">
                  <c:v>14</c:v>
                </c:pt>
                <c:pt idx="289">
                  <c:v>63</c:v>
                </c:pt>
                <c:pt idx="290">
                  <c:v>34</c:v>
                </c:pt>
                <c:pt idx="291">
                  <c:v>97</c:v>
                </c:pt>
                <c:pt idx="292">
                  <c:v>52</c:v>
                </c:pt>
                <c:pt idx="293">
                  <c:v>106</c:v>
                </c:pt>
                <c:pt idx="294">
                  <c:v>12</c:v>
                </c:pt>
                <c:pt idx="295">
                  <c:v>115</c:v>
                </c:pt>
                <c:pt idx="296">
                  <c:v>47</c:v>
                </c:pt>
                <c:pt idx="297">
                  <c:v>66</c:v>
                </c:pt>
                <c:pt idx="298">
                  <c:v>6</c:v>
                </c:pt>
                <c:pt idx="299">
                  <c:v>76</c:v>
                </c:pt>
                <c:pt idx="300">
                  <c:v>46</c:v>
                </c:pt>
                <c:pt idx="301">
                  <c:v>52</c:v>
                </c:pt>
                <c:pt idx="302">
                  <c:v>13</c:v>
                </c:pt>
                <c:pt idx="303">
                  <c:v>58</c:v>
                </c:pt>
                <c:pt idx="304">
                  <c:v>14</c:v>
                </c:pt>
                <c:pt idx="305">
                  <c:v>8</c:v>
                </c:pt>
                <c:pt idx="306">
                  <c:v>76</c:v>
                </c:pt>
                <c:pt idx="307">
                  <c:v>18</c:v>
                </c:pt>
                <c:pt idx="308">
                  <c:v>45</c:v>
                </c:pt>
                <c:pt idx="309">
                  <c:v>31</c:v>
                </c:pt>
                <c:pt idx="310">
                  <c:v>118</c:v>
                </c:pt>
                <c:pt idx="311">
                  <c:v>63</c:v>
                </c:pt>
                <c:pt idx="312">
                  <c:v>35</c:v>
                </c:pt>
                <c:pt idx="313">
                  <c:v>30</c:v>
                </c:pt>
                <c:pt idx="314">
                  <c:v>66</c:v>
                </c:pt>
                <c:pt idx="315">
                  <c:v>93</c:v>
                </c:pt>
                <c:pt idx="316">
                  <c:v>80</c:v>
                </c:pt>
                <c:pt idx="317">
                  <c:v>87</c:v>
                </c:pt>
                <c:pt idx="318">
                  <c:v>38</c:v>
                </c:pt>
                <c:pt idx="319">
                  <c:v>28</c:v>
                </c:pt>
                <c:pt idx="320">
                  <c:v>13</c:v>
                </c:pt>
                <c:pt idx="321">
                  <c:v>48</c:v>
                </c:pt>
                <c:pt idx="322">
                  <c:v>95</c:v>
                </c:pt>
                <c:pt idx="323">
                  <c:v>11</c:v>
                </c:pt>
                <c:pt idx="324">
                  <c:v>83</c:v>
                </c:pt>
                <c:pt idx="325">
                  <c:v>37</c:v>
                </c:pt>
                <c:pt idx="326">
                  <c:v>11</c:v>
                </c:pt>
                <c:pt idx="327">
                  <c:v>27</c:v>
                </c:pt>
                <c:pt idx="328">
                  <c:v>38</c:v>
                </c:pt>
                <c:pt idx="329">
                  <c:v>43</c:v>
                </c:pt>
                <c:pt idx="330">
                  <c:v>28</c:v>
                </c:pt>
                <c:pt idx="331">
                  <c:v>99</c:v>
                </c:pt>
                <c:pt idx="332">
                  <c:v>18</c:v>
                </c:pt>
                <c:pt idx="333">
                  <c:v>24</c:v>
                </c:pt>
                <c:pt idx="334">
                  <c:v>56</c:v>
                </c:pt>
                <c:pt idx="335">
                  <c:v>51</c:v>
                </c:pt>
                <c:pt idx="336">
                  <c:v>86</c:v>
                </c:pt>
                <c:pt idx="337">
                  <c:v>66</c:v>
                </c:pt>
                <c:pt idx="338">
                  <c:v>44</c:v>
                </c:pt>
                <c:pt idx="339">
                  <c:v>62</c:v>
                </c:pt>
                <c:pt idx="340">
                  <c:v>6</c:v>
                </c:pt>
                <c:pt idx="341">
                  <c:v>58</c:v>
                </c:pt>
                <c:pt idx="342">
                  <c:v>80</c:v>
                </c:pt>
                <c:pt idx="343">
                  <c:v>13</c:v>
                </c:pt>
                <c:pt idx="344">
                  <c:v>70</c:v>
                </c:pt>
                <c:pt idx="345">
                  <c:v>72</c:v>
                </c:pt>
                <c:pt idx="346">
                  <c:v>93</c:v>
                </c:pt>
                <c:pt idx="347">
                  <c:v>52</c:v>
                </c:pt>
                <c:pt idx="348">
                  <c:v>25</c:v>
                </c:pt>
                <c:pt idx="349">
                  <c:v>10</c:v>
                </c:pt>
                <c:pt idx="350">
                  <c:v>83</c:v>
                </c:pt>
                <c:pt idx="351">
                  <c:v>36</c:v>
                </c:pt>
                <c:pt idx="352">
                  <c:v>96</c:v>
                </c:pt>
                <c:pt idx="353">
                  <c:v>72</c:v>
                </c:pt>
                <c:pt idx="354">
                  <c:v>16</c:v>
                </c:pt>
                <c:pt idx="355">
                  <c:v>67</c:v>
                </c:pt>
                <c:pt idx="356">
                  <c:v>49</c:v>
                </c:pt>
                <c:pt idx="357">
                  <c:v>45</c:v>
                </c:pt>
                <c:pt idx="358">
                  <c:v>57</c:v>
                </c:pt>
                <c:pt idx="359">
                  <c:v>45</c:v>
                </c:pt>
                <c:pt idx="360">
                  <c:v>92</c:v>
                </c:pt>
                <c:pt idx="361">
                  <c:v>53</c:v>
                </c:pt>
                <c:pt idx="362">
                  <c:v>43</c:v>
                </c:pt>
                <c:pt idx="363">
                  <c:v>65</c:v>
                </c:pt>
                <c:pt idx="364">
                  <c:v>50</c:v>
                </c:pt>
                <c:pt idx="365">
                  <c:v>33</c:v>
                </c:pt>
                <c:pt idx="366">
                  <c:v>99</c:v>
                </c:pt>
                <c:pt idx="367">
                  <c:v>44</c:v>
                </c:pt>
                <c:pt idx="368">
                  <c:v>57</c:v>
                </c:pt>
                <c:pt idx="369">
                  <c:v>65</c:v>
                </c:pt>
                <c:pt idx="370">
                  <c:v>52</c:v>
                </c:pt>
                <c:pt idx="371">
                  <c:v>6</c:v>
                </c:pt>
                <c:pt idx="372">
                  <c:v>41</c:v>
                </c:pt>
                <c:pt idx="373">
                  <c:v>38</c:v>
                </c:pt>
                <c:pt idx="374">
                  <c:v>68</c:v>
                </c:pt>
                <c:pt idx="375">
                  <c:v>15</c:v>
                </c:pt>
                <c:pt idx="376">
                  <c:v>27</c:v>
                </c:pt>
                <c:pt idx="377">
                  <c:v>14</c:v>
                </c:pt>
                <c:pt idx="378">
                  <c:v>57</c:v>
                </c:pt>
                <c:pt idx="379">
                  <c:v>63</c:v>
                </c:pt>
                <c:pt idx="380">
                  <c:v>44</c:v>
                </c:pt>
                <c:pt idx="381">
                  <c:v>35</c:v>
                </c:pt>
                <c:pt idx="382">
                  <c:v>6</c:v>
                </c:pt>
                <c:pt idx="383">
                  <c:v>38</c:v>
                </c:pt>
                <c:pt idx="384">
                  <c:v>50</c:v>
                </c:pt>
                <c:pt idx="385">
                  <c:v>45</c:v>
                </c:pt>
                <c:pt idx="386">
                  <c:v>51</c:v>
                </c:pt>
                <c:pt idx="387">
                  <c:v>77</c:v>
                </c:pt>
                <c:pt idx="388">
                  <c:v>39</c:v>
                </c:pt>
                <c:pt idx="389">
                  <c:v>88</c:v>
                </c:pt>
                <c:pt idx="390">
                  <c:v>13</c:v>
                </c:pt>
                <c:pt idx="391">
                  <c:v>43</c:v>
                </c:pt>
                <c:pt idx="392">
                  <c:v>65</c:v>
                </c:pt>
                <c:pt idx="393">
                  <c:v>35</c:v>
                </c:pt>
                <c:pt idx="394">
                  <c:v>17</c:v>
                </c:pt>
                <c:pt idx="395">
                  <c:v>88</c:v>
                </c:pt>
                <c:pt idx="396">
                  <c:v>11</c:v>
                </c:pt>
                <c:pt idx="397">
                  <c:v>104</c:v>
                </c:pt>
                <c:pt idx="398">
                  <c:v>26</c:v>
                </c:pt>
                <c:pt idx="399">
                  <c:v>84</c:v>
                </c:pt>
              </c:numCache>
            </c:numRef>
          </c:yVal>
          <c:smooth val="0"/>
          <c:extLst>
            <c:ext xmlns:c16="http://schemas.microsoft.com/office/drawing/2014/chart" uri="{C3380CC4-5D6E-409C-BE32-E72D297353CC}">
              <c16:uniqueId val="{00000001-B184-5B4F-B3F6-1FC5CDBB2AF3}"/>
            </c:ext>
          </c:extLst>
        </c:ser>
        <c:dLbls>
          <c:showLegendKey val="0"/>
          <c:showVal val="0"/>
          <c:showCatName val="0"/>
          <c:showSerName val="0"/>
          <c:showPercent val="0"/>
          <c:showBubbleSize val="0"/>
        </c:dLbls>
        <c:axId val="936965232"/>
        <c:axId val="607687760"/>
      </c:scatterChart>
      <c:valAx>
        <c:axId val="936965232"/>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sz="1200"/>
                  <a:t>Number</a:t>
                </a:r>
                <a:r>
                  <a:rPr lang="en-GB" sz="1200" baseline="0"/>
                  <a:t> of transaction </a:t>
                </a:r>
                <a:endParaRPr lang="en-GB" sz="1200"/>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7687760"/>
        <c:crosses val="autoZero"/>
        <c:crossBetween val="midCat"/>
      </c:valAx>
      <c:valAx>
        <c:axId val="607687760"/>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sz="1400"/>
                  <a:t>Total</a:t>
                </a:r>
                <a:r>
                  <a:rPr lang="en-GB" sz="1400" baseline="0"/>
                  <a:t> amount spet($000)</a:t>
                </a:r>
                <a:endParaRPr lang="en-GB" sz="1400"/>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6965232"/>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[MIS770A2_225125235_CS_dataset.xlsx]Q2(b)!PivotTable8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Customer Distribution by Gender and Loyalty Program Membership</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'Q2(b)'!$E$9:$E$10</c:f>
              <c:strCache>
                <c:ptCount val="1"/>
                <c:pt idx="0">
                  <c:v>Not in Loyalty Program</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'Q2(b)'!$D$11:$D$14</c:f>
              <c:strCache>
                <c:ptCount val="3"/>
                <c:pt idx="0">
                  <c:v>Female</c:v>
                </c:pt>
                <c:pt idx="1">
                  <c:v>Male</c:v>
                </c:pt>
                <c:pt idx="2">
                  <c:v>Other</c:v>
                </c:pt>
              </c:strCache>
            </c:strRef>
          </c:cat>
          <c:val>
            <c:numRef>
              <c:f>'Q2(b)'!$E$11:$E$14</c:f>
              <c:numCache>
                <c:formatCode>General</c:formatCode>
                <c:ptCount val="3"/>
                <c:pt idx="0">
                  <c:v>91</c:v>
                </c:pt>
                <c:pt idx="1">
                  <c:v>69</c:v>
                </c:pt>
                <c:pt idx="2">
                  <c:v>5</c:v>
                </c:pt>
              </c:numCache>
            </c:numRef>
          </c:val>
          <c:extLst>
            <c:ext xmlns:c16="http://schemas.microsoft.com/office/drawing/2014/chart" uri="{C3380CC4-5D6E-409C-BE32-E72D297353CC}">
              <c16:uniqueId val="{00000000-8D72-0E4C-8378-8C9D78C3D4F3}"/>
            </c:ext>
          </c:extLst>
        </c:ser>
        <c:ser>
          <c:idx val="1"/>
          <c:order val="1"/>
          <c:tx>
            <c:strRef>
              <c:f>'Q2(b)'!$F$9:$F$10</c:f>
              <c:strCache>
                <c:ptCount val="1"/>
                <c:pt idx="0">
                  <c:v>In Loyalty Program</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'Q2(b)'!$D$11:$D$14</c:f>
              <c:strCache>
                <c:ptCount val="3"/>
                <c:pt idx="0">
                  <c:v>Female</c:v>
                </c:pt>
                <c:pt idx="1">
                  <c:v>Male</c:v>
                </c:pt>
                <c:pt idx="2">
                  <c:v>Other</c:v>
                </c:pt>
              </c:strCache>
            </c:strRef>
          </c:cat>
          <c:val>
            <c:numRef>
              <c:f>'Q2(b)'!$F$11:$F$14</c:f>
              <c:numCache>
                <c:formatCode>General</c:formatCode>
                <c:ptCount val="3"/>
                <c:pt idx="0">
                  <c:v>99</c:v>
                </c:pt>
                <c:pt idx="1">
                  <c:v>127</c:v>
                </c:pt>
                <c:pt idx="2">
                  <c:v>9</c:v>
                </c:pt>
              </c:numCache>
            </c:numRef>
          </c:val>
          <c:extLst>
            <c:ext xmlns:c16="http://schemas.microsoft.com/office/drawing/2014/chart" uri="{C3380CC4-5D6E-409C-BE32-E72D297353CC}">
              <c16:uniqueId val="{00000001-8D72-0E4C-8378-8C9D78C3D4F3}"/>
            </c:ext>
          </c:extLst>
        </c:ser>
        <c:dLbls>
          <c:showLegendKey val="0"/>
          <c:showVal val="0"/>
          <c:showCatName val="0"/>
          <c:showSerName val="0"/>
          <c:showPercent val="0"/>
          <c:showBubbleSize val="0"/>
        </c:dLbls>
        <c:gapWidth val="150"/>
        <c:overlap val="100"/>
        <c:axId val="2037021536"/>
        <c:axId val="608943776"/>
      </c:barChart>
      <c:catAx>
        <c:axId val="203702153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Gender</a:t>
                </a:r>
                <a:endParaRPr lang="en-GB"/>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8943776"/>
        <c:crosses val="autoZero"/>
        <c:auto val="1"/>
        <c:lblAlgn val="ctr"/>
        <c:lblOffset val="100"/>
        <c:noMultiLvlLbl val="0"/>
      </c:catAx>
      <c:valAx>
        <c:axId val="60894377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Number of Customers</a:t>
                </a:r>
                <a:endParaRPr lang="en-GB"/>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702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Customer Distribution by Age Group and Discount Usage Frequency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'Q2(c)'!$I$46</c:f>
              <c:strCache>
                <c:ptCount val="1"/>
                <c:pt idx="0">
                  <c:v>Never (%)</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'Q2(c)'!$H$47:$H$50</c:f>
              <c:strCache>
                <c:ptCount val="4"/>
                <c:pt idx="0">
                  <c:v>Under 30</c:v>
                </c:pt>
                <c:pt idx="1">
                  <c:v>30–44</c:v>
                </c:pt>
                <c:pt idx="2">
                  <c:v>45–59</c:v>
                </c:pt>
                <c:pt idx="3">
                  <c:v>60+</c:v>
                </c:pt>
              </c:strCache>
            </c:strRef>
          </c:cat>
          <c:val>
            <c:numRef>
              <c:f>'Q2(c)'!$I$47:$I$50</c:f>
              <c:numCache>
                <c:formatCode>0.00%</c:formatCode>
                <c:ptCount val="4"/>
                <c:pt idx="0">
                  <c:v>3.5000000000000003E-2</c:v>
                </c:pt>
                <c:pt idx="1">
                  <c:v>0.04</c:v>
                </c:pt>
                <c:pt idx="2">
                  <c:v>5.7500000000000002E-2</c:v>
                </c:pt>
                <c:pt idx="3">
                  <c:v>0.04</c:v>
                </c:pt>
              </c:numCache>
            </c:numRef>
          </c:val>
          <c:extLst>
            <c:ext xmlns:c16="http://schemas.microsoft.com/office/drawing/2014/chart" uri="{C3380CC4-5D6E-409C-BE32-E72D297353CC}">
              <c16:uniqueId val="{00000000-525D-FD43-B444-5E948DA93FE1}"/>
            </c:ext>
          </c:extLst>
        </c:ser>
        <c:ser>
          <c:idx val="1"/>
          <c:order val="1"/>
          <c:tx>
            <c:strRef>
              <c:f>'Q2(c)'!$J$46</c:f>
              <c:strCache>
                <c:ptCount val="1"/>
                <c:pt idx="0">
                  <c:v>Occasionally (%)</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'Q2(c)'!$H$47:$H$50</c:f>
              <c:strCache>
                <c:ptCount val="4"/>
                <c:pt idx="0">
                  <c:v>Under 30</c:v>
                </c:pt>
                <c:pt idx="1">
                  <c:v>30–44</c:v>
                </c:pt>
                <c:pt idx="2">
                  <c:v>45–59</c:v>
                </c:pt>
                <c:pt idx="3">
                  <c:v>60+</c:v>
                </c:pt>
              </c:strCache>
            </c:strRef>
          </c:cat>
          <c:val>
            <c:numRef>
              <c:f>'Q2(c)'!$J$47:$J$50</c:f>
              <c:numCache>
                <c:formatCode>0.00%</c:formatCode>
                <c:ptCount val="4"/>
                <c:pt idx="0">
                  <c:v>0.115</c:v>
                </c:pt>
                <c:pt idx="1">
                  <c:v>9.5000000000000001E-2</c:v>
                </c:pt>
                <c:pt idx="2">
                  <c:v>0.15</c:v>
                </c:pt>
                <c:pt idx="3">
                  <c:v>0.14499999999999999</c:v>
                </c:pt>
              </c:numCache>
            </c:numRef>
          </c:val>
          <c:extLst>
            <c:ext xmlns:c16="http://schemas.microsoft.com/office/drawing/2014/chart" uri="{C3380CC4-5D6E-409C-BE32-E72D297353CC}">
              <c16:uniqueId val="{00000001-525D-FD43-B444-5E948DA93FE1}"/>
            </c:ext>
          </c:extLst>
        </c:ser>
        <c:ser>
          <c:idx val="2"/>
          <c:order val="2"/>
          <c:tx>
            <c:strRef>
              <c:f>'Q2(c)'!$K$46</c:f>
              <c:strCache>
                <c:ptCount val="1"/>
                <c:pt idx="0">
                  <c:v>Frequently (%)</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'Q2(c)'!$H$47:$H$50</c:f>
              <c:strCache>
                <c:ptCount val="4"/>
                <c:pt idx="0">
                  <c:v>Under 30</c:v>
                </c:pt>
                <c:pt idx="1">
                  <c:v>30–44</c:v>
                </c:pt>
                <c:pt idx="2">
                  <c:v>45–59</c:v>
                </c:pt>
                <c:pt idx="3">
                  <c:v>60+</c:v>
                </c:pt>
              </c:strCache>
            </c:strRef>
          </c:cat>
          <c:val>
            <c:numRef>
              <c:f>'Q2(c)'!$K$47:$K$50</c:f>
              <c:numCache>
                <c:formatCode>0.00%</c:formatCode>
                <c:ptCount val="4"/>
                <c:pt idx="0">
                  <c:v>7.7499999999999999E-2</c:v>
                </c:pt>
                <c:pt idx="1">
                  <c:v>7.4999999999999997E-2</c:v>
                </c:pt>
                <c:pt idx="2">
                  <c:v>8.7499999999999994E-2</c:v>
                </c:pt>
                <c:pt idx="3">
                  <c:v>8.2500000000000004E-2</c:v>
                </c:pt>
              </c:numCache>
            </c:numRef>
          </c:val>
          <c:extLst>
            <c:ext xmlns:c16="http://schemas.microsoft.com/office/drawing/2014/chart" uri="{C3380CC4-5D6E-409C-BE32-E72D297353CC}">
              <c16:uniqueId val="{00000002-525D-FD43-B444-5E948DA93FE1}"/>
            </c:ext>
          </c:extLst>
        </c:ser>
        <c:dLbls>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[MIS770A2_225125235_CS_dataset.xlsx]Q2(c)!PivotTable26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Relationship Between Age and Discount Usage</a:t>
            </a:r>
            <a:endParaRPr lang="en-GB"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'Q2(c)'!$I$28:$I$29</c:f>
              <c:strCache>
                <c:ptCount val="1"/>
                <c:pt idx="0">
                  <c:v>Frequently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'Q2(c)'!$H$30:$H$34</c:f>
              <c:strCache>
                <c:ptCount val="4"/>
                <c:pt idx="0">
                  <c:v>18-29</c:v>
                </c:pt>
                <c:pt idx="1">
                  <c:v>30-44</c:v>
                </c:pt>
                <c:pt idx="2">
                  <c:v>45-59</c:v>
                </c:pt>
                <c:pt idx="3">
                  <c:v>60+</c:v>
                </c:pt>
              </c:strCache>
            </c:strRef>
          </c:cat>
          <c:val>
            <c:numRef>
              <c:f>'Q2(c)'!$I$30:$I$34</c:f>
              <c:numCache>
                <c:formatCode>General</c:formatCode>
                <c:ptCount val="4"/>
                <c:pt idx="0">
                  <c:v>31</c:v>
                </c:pt>
                <c:pt idx="1">
                  <c:v>30</c:v>
                </c:pt>
                <c:pt idx="2">
                  <c:v>35</c:v>
                </c:pt>
                <c:pt idx="3">
                  <c:v>33</c:v>
                </c:pt>
              </c:numCache>
            </c:numRef>
          </c:val>
          <c:extLst>
            <c:ext xmlns:c16="http://schemas.microsoft.com/office/drawing/2014/chart" uri="{C3380CC4-5D6E-409C-BE32-E72D297353CC}">
              <c16:uniqueId val="{00000000-6A0B-0749-9D6C-F438FBF94101}"/>
            </c:ext>
          </c:extLst>
        </c:ser>
        <c:ser>
          <c:idx val="1"/>
          <c:order val="1"/>
          <c:tx>
            <c:strRef>
              <c:f>'Q2(c)'!$J$28:$J$29</c:f>
              <c:strCache>
                <c:ptCount val="1"/>
                <c:pt idx="0">
                  <c:v>Never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'Q2(c)'!$H$30:$H$34</c:f>
              <c:strCache>
                <c:ptCount val="4"/>
                <c:pt idx="0">
                  <c:v>18-29</c:v>
                </c:pt>
                <c:pt idx="1">
                  <c:v>30-44</c:v>
                </c:pt>
                <c:pt idx="2">
                  <c:v>45-59</c:v>
                </c:pt>
                <c:pt idx="3">
                  <c:v>60+</c:v>
                </c:pt>
              </c:strCache>
            </c:strRef>
          </c:cat>
          <c:val>
            <c:numRef>
              <c:f>'Q2(c)'!$J$30:$J$34</c:f>
              <c:numCache>
                <c:formatCode>General</c:formatCode>
                <c:ptCount val="4"/>
                <c:pt idx="0">
                  <c:v>14</c:v>
                </c:pt>
                <c:pt idx="1">
                  <c:v>16</c:v>
                </c:pt>
                <c:pt idx="2">
                  <c:v>23</c:v>
                </c:pt>
                <c:pt idx="3">
                  <c:v>16</c:v>
                </c:pt>
              </c:numCache>
            </c:numRef>
          </c:val>
          <c:extLst>
            <c:ext xmlns:c16="http://schemas.microsoft.com/office/drawing/2014/chart" uri="{C3380CC4-5D6E-409C-BE32-E72D297353CC}">
              <c16:uniqueId val="{00000001-6A0B-0749-9D6C-F438FBF94101}"/>
            </c:ext>
          </c:extLst>
        </c:ser>
        <c:ser>
          <c:idx val="2"/>
          <c:order val="2"/>
          <c:tx>
            <c:strRef>
              <c:f>'Q2(c)'!$K$28:$K$29</c:f>
              <c:strCache>
                <c:ptCount val="1"/>
                <c:pt idx="0">
                  <c:v>Occasionally</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'Q2(c)'!$H$30:$H$34</c:f>
              <c:strCache>
                <c:ptCount val="4"/>
                <c:pt idx="0">
                  <c:v>18-29</c:v>
                </c:pt>
                <c:pt idx="1">
                  <c:v>30-44</c:v>
                </c:pt>
                <c:pt idx="2">
                  <c:v>45-59</c:v>
                </c:pt>
                <c:pt idx="3">
                  <c:v>60+</c:v>
                </c:pt>
              </c:strCache>
            </c:strRef>
          </c:cat>
          <c:val>
            <c:numRef>
              <c:f>'Q2(c)'!$K$30:$K$34</c:f>
              <c:numCache>
                <c:formatCode>General</c:formatCode>
                <c:ptCount val="4"/>
                <c:pt idx="0">
                  <c:v>46</c:v>
                </c:pt>
                <c:pt idx="1">
                  <c:v>38</c:v>
                </c:pt>
                <c:pt idx="2">
                  <c:v>60</c:v>
                </c:pt>
                <c:pt idx="3">
                  <c:v>58</c:v>
                </c:pt>
              </c:numCache>
            </c:numRef>
          </c:val>
          <c:extLst>
            <c:ext xmlns:c16="http://schemas.microsoft.com/office/drawing/2014/chart" uri="{C3380CC4-5D6E-409C-BE32-E72D297353CC}">
              <c16:uniqueId val="{00000002-6A0B-0749-9D6C-F438FBF94101}"/>
            </c:ext>
          </c:extLst>
        </c:ser>
        <c:dLbls>
          <c:showLegendKey val="0"/>
          <c:showVal val="0"/>
          <c:showCatName val="0"/>
          <c:showSerName val="0"/>
          <c:showPercent val="0"/>
          <c:showBubbleSize val="0"/>
        </c:dLbls>
        <c:gapWidth val="150"/>
        <c:overlap val="100"/>
        <c:axId val="684924192"/>
        <c:axId val="688415776"/>
      </c:barChart>
      <c:catAx>
        <c:axId val="6849241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kern="1200" cap="all" baseline="0">
                    <a:solidFill>
                      <a:sysClr val="window" lastClr="FFFFFF">
                        <a:lumMod val="85000"/>
                      </a:sysClr>
                    </a:solidFill>
                  </a:rPr>
                  <a:t>Age Group (18-29, 30-44, 45-59, 60+)</a:t>
                </a:r>
                <a:endParaRPr lang="en-GB" sz="900" b="1" i="0" u="none" strike="noStrike" kern="1200" cap="all" baseline="0">
                  <a:solidFill>
                    <a:sysClr val="window" lastClr="FFFFFF">
                      <a:lumMod val="85000"/>
                    </a:sysClr>
                  </a:solidFill>
                </a:endParaRP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8415776"/>
        <c:crosses val="autoZero"/>
        <c:auto val="1"/>
        <c:lblAlgn val="ctr"/>
        <c:lblOffset val="100"/>
        <c:noMultiLvlLbl val="0"/>
      </c:catAx>
      <c:valAx>
        <c:axId val="68841577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cap="all" baseline="0">
                    <a:solidFill>
                      <a:sysClr val="window" lastClr="FFFFFF">
                        <a:lumMod val="85000"/>
                      </a:sysClr>
                    </a:solidFill>
                    <a:latin typeface="+mn-lt"/>
                    <a:ea typeface="+mn-ea"/>
                    <a:cs typeface="+mn-cs"/>
                  </a:defRPr>
                </a:pPr>
                <a:r>
                  <a:rPr lang="en-IN" sz="900" b="1" i="0" u="none" strike="noStrike" kern="1200" cap="all" baseline="0">
                    <a:solidFill>
                      <a:sysClr val="window" lastClr="FFFFFF">
                        <a:lumMod val="85000"/>
                      </a:sysClr>
                    </a:solidFill>
                  </a:rPr>
                  <a:t>Number of Customers</a:t>
                </a:r>
                <a:endParaRPr lang="en-GB" sz="900" b="1" i="0" u="none" strike="noStrike" kern="1200" cap="all" baseline="0">
                  <a:solidFill>
                    <a:sysClr val="window" lastClr="FFFFFF">
                      <a:lumMod val="85000"/>
                    </a:sys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cap="all" baseline="0">
                    <a:solidFill>
                      <a:sysClr val="window" lastClr="FFFFFF">
                        <a:lumMod val="85000"/>
                      </a:sysClr>
                    </a:solidFill>
                    <a:latin typeface="+mn-lt"/>
                    <a:ea typeface="+mn-ea"/>
                    <a:cs typeface="+mn-cs"/>
                  </a:defRPr>
                </a:pPr>
                <a:endParaRPr lang="en-GB"/>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cap="all" baseline="0">
                  <a:solidFill>
                    <a:sysClr val="window" lastClr="FFFFFF">
                      <a:lumMod val="8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492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[MIS770A2_225125235_CS_dataset.xlsx]Q4(a)!PivotTable27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Customer Distribution by Spending Categories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'Q4(a)'!$E$55</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'Q4(a)'!$D$56:$D$62</c:f>
              <c:strCache>
                <c:ptCount val="6"/>
                <c:pt idx="0">
                  <c:v>High Spend ($89,000 - $132,000)</c:v>
                </c:pt>
                <c:pt idx="1">
                  <c:v>Low Spend (&lt;$22,000)</c:v>
                </c:pt>
                <c:pt idx="2">
                  <c:v>Lower-Middle Spend ($23,000 - $44,000)</c:v>
                </c:pt>
                <c:pt idx="3">
                  <c:v>Middle Spend ($45,000 - $66,000)</c:v>
                </c:pt>
                <c:pt idx="4">
                  <c:v>Premium Spend (&gt;$132,000)</c:v>
                </c:pt>
                <c:pt idx="5">
                  <c:v>Upper-Middle Spend ($67,000 - $88,000)</c:v>
                </c:pt>
              </c:strCache>
            </c:strRef>
          </c:cat>
          <c:val>
            <c:numRef>
              <c:f>'Q4(a)'!$E$56:$E$62</c:f>
              <c:numCache>
                <c:formatCode>General</c:formatCode>
                <c:ptCount val="6"/>
                <c:pt idx="0">
                  <c:v>16</c:v>
                </c:pt>
                <c:pt idx="1">
                  <c:v>52</c:v>
                </c:pt>
                <c:pt idx="2">
                  <c:v>121</c:v>
                </c:pt>
                <c:pt idx="3">
                  <c:v>124</c:v>
                </c:pt>
                <c:pt idx="4">
                  <c:v>2</c:v>
                </c:pt>
                <c:pt idx="5">
                  <c:v>85</c:v>
                </c:pt>
              </c:numCache>
            </c:numRef>
          </c:val>
          <c:smooth val="0"/>
          <c:extLst>
            <c:ext xmlns:c16="http://schemas.microsoft.com/office/drawing/2014/chart" uri="{C3380CC4-5D6E-409C-BE32-E72D297353CC}">
              <c16:uniqueId val="{00000000-9B19-AD48-B06A-ADC846E646E9}"/>
            </c:ext>
          </c:extLst>
        </c:ser>
        <c:dLbls>
          <c:showLegendKey val="0"/>
          <c:showVal val="0"/>
          <c:showCatName val="0"/>
          <c:showSerName val="0"/>
          <c:showPercent val="0"/>
          <c:showBubbleSize val="0"/>
        </c:dLbls>
        <c:marker val="1"/>
        <c:smooth val="0"/>
        <c:axId val="603816655"/>
        <c:axId val="613730895"/>
      </c:lineChart>
      <c:catAx>
        <c:axId val="60381665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Spending Categories</a:t>
                </a:r>
                <a:endParaRPr lang="en-GB"/>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3730895"/>
        <c:crosses val="autoZero"/>
        <c:auto val="1"/>
        <c:lblAlgn val="ctr"/>
        <c:lblOffset val="100"/>
        <c:noMultiLvlLbl val="0"/>
      </c:catAx>
      <c:valAx>
        <c:axId val="61373089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Total Number of Customers</a:t>
                </a:r>
                <a:endParaRPr lang="en-GB"/>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3816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[MIS770A2_225125235_CS_dataset.xlsx]Q4(b)!PivotTable13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Customer Discount Usage Frequency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'Q4(b)'!$E$57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'Q4(b)'!$D$58:$D$61</c:f>
              <c:strCache>
                <c:ptCount val="3"/>
                <c:pt idx="0">
                  <c:v>Frequently</c:v>
                </c:pt>
                <c:pt idx="1">
                  <c:v>Never</c:v>
                </c:pt>
                <c:pt idx="2">
                  <c:v>Occasionally</c:v>
                </c:pt>
              </c:strCache>
            </c:strRef>
          </c:cat>
          <c:val>
            <c:numRef>
              <c:f>'Q4(b)'!$E$58:$E$61</c:f>
              <c:numCache>
                <c:formatCode>General</c:formatCode>
                <c:ptCount val="3"/>
                <c:pt idx="0">
                  <c:v>129</c:v>
                </c:pt>
                <c:pt idx="1">
                  <c:v>69</c:v>
                </c:pt>
                <c:pt idx="2">
                  <c:v>202</c:v>
                </c:pt>
              </c:numCache>
            </c:numRef>
          </c:val>
          <c:extLst>
            <c:ext xmlns:c16="http://schemas.microsoft.com/office/drawing/2014/chart" uri="{C3380CC4-5D6E-409C-BE32-E72D297353CC}">
              <c16:uniqueId val="{00000000-1120-4647-AA0F-CB8E45F6F1C7}"/>
            </c:ext>
          </c:extLst>
        </c:ser>
        <c:dLbls>
          <c:dLblPos val="inEnd"/>
          <c:showLegendKey val="0"/>
          <c:showVal val="1"/>
          <c:showCatName val="0"/>
          <c:showSerName val="0"/>
          <c:showPercent val="0"/>
          <c:showBubbleSize val="0"/>
        </c:dLbls>
        <c:gapWidth val="100"/>
        <c:overlap val="-24"/>
        <c:axId val="1644736175"/>
        <c:axId val="1453233967"/>
      </c:barChart>
      <c:catAx>
        <c:axId val="16447361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Discount Usage Categories</a:t>
                </a:r>
                <a:endParaRPr lang="en-GB"/>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3233967"/>
        <c:crosses val="autoZero"/>
        <c:auto val="1"/>
        <c:lblAlgn val="ctr"/>
        <c:lblOffset val="100"/>
        <c:noMultiLvlLbl val="0"/>
      </c:catAx>
      <c:valAx>
        <c:axId val="145323396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Number of Customers</a:t>
                </a:r>
                <a:endParaRPr lang="en-GB"/>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473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Outlier Detection for Total_Spend</cx:v>
        </cx:txData>
      </cx:tx>
      <cx:txPr>
        <a:bodyPr spcFirstLastPara="1" vertOverflow="ellipsis" horzOverflow="overflow" wrap="square" lIns="0" tIns="0" rIns="0" bIns="0" anchor="ctr" anchorCtr="1"/>
        <a:lstStyle/>
        <a:p>
          <a:pPr algn="ctr" rtl="0">
            <a:defRPr/>
          </a:pPr>
          <a:r>
            <a:rPr lang="en-GB" sz="1800" b="1" i="0" u="none" strike="noStrike" baseline="0">
              <a:solidFill>
                <a:sysClr val="windowText" lastClr="000000">
                  <a:lumMod val="75000"/>
                  <a:lumOff val="25000"/>
                </a:sysClr>
              </a:solidFill>
              <a:latin typeface="Calibri"/>
            </a:rPr>
            <a:t>Outlier Detection for Total_Spend</a:t>
          </a:r>
        </a:p>
      </cx:txPr>
    </cx:title>
    <cx:plotArea>
      <cx:plotAreaRegion>
        <cx:series layoutId="boxWhisker" uniqueId="{80D43C82-DF5D-EC41-B6CE-280C75843649}">
          <cx:tx>
            <cx:txData>
              <cx:f>_xlchart.v1.0</cx:f>
              <cx:v>Total_Spend</cx:v>
            </cx:txData>
          </cx:tx>
          <cx:dataId val="0"/>
          <cx:layoutPr>
            <cx:visibility meanLine="1" meanMarker="1" nonoutliers="0" outliers="1"/>
            <cx:statistics quartileMethod="exclusive"/>
          </cx:layoutPr>
        </cx:series>
      </cx:plotAreaRegion>
      <cx:axis id="0">
        <cx:catScaling gapWidth="1.5"/>
        <cx:tickLabels/>
      </cx:axis>
      <cx:axis id="1">
        <cx:valScaling/>
        <cx:majorGridlines/>
        <cx:tickLabels/>
      </cx:axis>
    </cx:plotArea>
    <cx:legend pos="b" align="ctr" overlay="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75000"/>
                <a:lumOff val="25000"/>
              </a:sysClr>
            </a:solidFill>
            <a:latin typeface="Calibri"/>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Outlier Detection for Number of Transaction</cx:v>
        </cx:txData>
      </cx:tx>
      <cx:txPr>
        <a:bodyPr spcFirstLastPara="1" vertOverflow="ellipsis" horzOverflow="overflow" wrap="square" lIns="0" tIns="0" rIns="0" bIns="0" anchor="ctr" anchorCtr="1"/>
        <a:lstStyle/>
        <a:p>
          <a:pPr algn="ctr" rtl="0">
            <a:defRPr/>
          </a:pPr>
          <a:r>
            <a:rPr lang="en-GB"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a:rPr>
            <a:t>Outlier Detection for Number of Transaction</a:t>
          </a:r>
        </a:p>
      </cx:txPr>
    </cx:title>
    <cx:plotArea>
      <cx:plotAreaRegion>
        <cx:series layoutId="boxWhisker" uniqueId="{4A57A7DD-82E1-CD48-82B3-982214CB0EEB}">
          <cx:tx>
            <cx:txData>
              <cx:f>_xlchart.v1.2</cx:f>
              <cx:v>Num_Trans</cx:v>
            </cx:txData>
          </cx:tx>
          <cx:dataId val="0"/>
          <cx:layoutPr>
            <cx:visibility meanLine="1"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IN" b="1"/>
              <a:t>Box Plot</a:t>
            </a:r>
            <a:r>
              <a:rPr lang="en-IN"/>
              <a:t> for </a:t>
            </a:r>
            <a:r>
              <a:rPr lang="en-IN" b="1"/>
              <a:t>Return Rate</a:t>
            </a:r>
            <a:endParaRPr lang="en-GB" sz="1800" b="1" i="0" u="none" strike="noStrike" baseline="0">
              <a:solidFill>
                <a:sysClr val="windowText" lastClr="000000">
                  <a:lumMod val="75000"/>
                  <a:lumOff val="25000"/>
                </a:sysClr>
              </a:solidFill>
              <a:latin typeface="Calibri"/>
            </a:endParaRPr>
          </a:p>
        </cx:rich>
      </cx:tx>
    </cx:title>
    <cx:plotArea>
      <cx:plotAreaRegion>
        <cx:series layoutId="boxWhisker" uniqueId="{D29B8B81-3D24-E144-BB80-2C46C12DDC89}">
          <cx:tx>
            <cx:txData>
              <cx:f>_xlchart.v1.4</cx:f>
              <cx:v>Return_Rate</cx:v>
            </cx:txData>
          </cx:tx>
          <cx:dataId val="0"/>
          <cx:layoutPr>
            <cx:visibility meanLine="1"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2513541</xdr:colOff>
      <xdr:row>36</xdr:row>
      <xdr:rowOff>0</xdr:rowOff>
    </xdr:from>
    <xdr:to>
      <xdr:col>8</xdr:col>
      <xdr:colOff>0</xdr:colOff>
      <xdr:row>57</xdr:row>
      <xdr:rowOff>2</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3764B277-1D97-DE10-A569-F5855019E7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68472" y="7099653"/>
              <a:ext cx="9701389" cy="407458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0</xdr:colOff>
      <xdr:row>81</xdr:row>
      <xdr:rowOff>34924</xdr:rowOff>
    </xdr:from>
    <xdr:to>
      <xdr:col>8</xdr:col>
      <xdr:colOff>0</xdr:colOff>
      <xdr:row>101</xdr:row>
      <xdr:rowOff>0</xdr:rowOff>
    </xdr:to>
    <xdr:graphicFrame macro="">
      <xdr:nvGraphicFramePr>
        <xdr:cNvPr id="16" name="Chart 15">
          <a:extLst>
            <a:ext uri="{FF2B5EF4-FFF2-40B4-BE49-F238E27FC236}">
              <a16:creationId xmlns:a16="http://schemas.microsoft.com/office/drawing/2014/main" id="{9602A0D9-E485-C8ED-9087-DD8C0E69BC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1295400</xdr:colOff>
      <xdr:row>62</xdr:row>
      <xdr:rowOff>25400</xdr:rowOff>
    </xdr:from>
    <xdr:to>
      <xdr:col>10</xdr:col>
      <xdr:colOff>0</xdr:colOff>
      <xdr:row>89</xdr:row>
      <xdr:rowOff>63500</xdr:rowOff>
    </xdr:to>
    <xdr:graphicFrame macro="">
      <xdr:nvGraphicFramePr>
        <xdr:cNvPr id="2" name="Chart 1">
          <a:extLst>
            <a:ext uri="{FF2B5EF4-FFF2-40B4-BE49-F238E27FC236}">
              <a16:creationId xmlns:a16="http://schemas.microsoft.com/office/drawing/2014/main" id="{6B1622FF-D73A-6BDB-91A5-EF3227C805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1295400</xdr:colOff>
      <xdr:row>26</xdr:row>
      <xdr:rowOff>139700</xdr:rowOff>
    </xdr:from>
    <xdr:to>
      <xdr:col>10</xdr:col>
      <xdr:colOff>0</xdr:colOff>
      <xdr:row>52</xdr:row>
      <xdr:rowOff>177800</xdr:rowOff>
    </xdr:to>
    <xdr:graphicFrame macro="">
      <xdr:nvGraphicFramePr>
        <xdr:cNvPr id="3" name="Chart 2">
          <a:extLst>
            <a:ext uri="{FF2B5EF4-FFF2-40B4-BE49-F238E27FC236}">
              <a16:creationId xmlns:a16="http://schemas.microsoft.com/office/drawing/2014/main" id="{B3614A46-9FEA-3B68-7D09-279F8AC009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880533</xdr:colOff>
      <xdr:row>86</xdr:row>
      <xdr:rowOff>0</xdr:rowOff>
    </xdr:from>
    <xdr:to>
      <xdr:col>12</xdr:col>
      <xdr:colOff>440267</xdr:colOff>
      <xdr:row>115</xdr:row>
      <xdr:rowOff>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C6CE733-3D38-5DF2-9E3E-0D4A2FC88E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312400" y="17796933"/>
              <a:ext cx="16408400" cy="58928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880533</xdr:colOff>
      <xdr:row>44</xdr:row>
      <xdr:rowOff>16933</xdr:rowOff>
    </xdr:from>
    <xdr:to>
      <xdr:col>12</xdr:col>
      <xdr:colOff>440267</xdr:colOff>
      <xdr:row>81</xdr:row>
      <xdr:rowOff>84666</xdr:rowOff>
    </xdr:to>
    <xdr:graphicFrame macro="">
      <xdr:nvGraphicFramePr>
        <xdr:cNvPr id="8" name="Chart 7">
          <a:extLst>
            <a:ext uri="{FF2B5EF4-FFF2-40B4-BE49-F238E27FC236}">
              <a16:creationId xmlns:a16="http://schemas.microsoft.com/office/drawing/2014/main" id="{1A7B7B1F-D8B6-4049-9BD8-0F12449ED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1371600</xdr:colOff>
      <xdr:row>69</xdr:row>
      <xdr:rowOff>0</xdr:rowOff>
    </xdr:from>
    <xdr:to>
      <xdr:col>4</xdr:col>
      <xdr:colOff>644398</xdr:colOff>
      <xdr:row>89</xdr:row>
      <xdr:rowOff>129940</xdr:rowOff>
    </xdr:to>
    <xdr:grpSp>
      <xdr:nvGrpSpPr>
        <xdr:cNvPr id="11" name="Group 10">
          <a:extLst>
            <a:ext uri="{FF2B5EF4-FFF2-40B4-BE49-F238E27FC236}">
              <a16:creationId xmlns:a16="http://schemas.microsoft.com/office/drawing/2014/main" id="{010D050D-6FD4-794A-877B-ED7CE2D4A1E4}"/>
            </a:ext>
          </a:extLst>
        </xdr:cNvPr>
        <xdr:cNvGrpSpPr/>
      </xdr:nvGrpSpPr>
      <xdr:grpSpPr>
        <a:xfrm>
          <a:off x="6040718" y="14511618"/>
          <a:ext cx="3418974" cy="3865234"/>
          <a:chOff x="3626646" y="654827"/>
          <a:chExt cx="3412998" cy="4308240"/>
        </a:xfrm>
        <a:effectLst>
          <a:glow rad="228600">
            <a:schemeClr val="accent6">
              <a:satMod val="175000"/>
              <a:alpha val="40000"/>
            </a:schemeClr>
          </a:glow>
        </a:effectLst>
      </xdr:grpSpPr>
      <xdr:sp macro="" textlink="">
        <xdr:nvSpPr>
          <xdr:cNvPr id="12" name="Oval 11">
            <a:extLst>
              <a:ext uri="{FF2B5EF4-FFF2-40B4-BE49-F238E27FC236}">
                <a16:creationId xmlns:a16="http://schemas.microsoft.com/office/drawing/2014/main" id="{47BB1511-852C-D7E4-B230-000D75C03EFE}"/>
              </a:ext>
            </a:extLst>
          </xdr:cNvPr>
          <xdr:cNvSpPr/>
        </xdr:nvSpPr>
        <xdr:spPr>
          <a:xfrm>
            <a:off x="3626646" y="654827"/>
            <a:ext cx="3412998" cy="3412998"/>
          </a:xfrm>
          <a:prstGeom prst="ellipse">
            <a:avLst/>
          </a:prstGeom>
          <a:ln>
            <a:solidFill>
              <a:srgbClr val="FF0000"/>
            </a:solidFill>
          </a:ln>
        </xdr:spPr>
        <xdr:style>
          <a:lnRef idx="2">
            <a:scrgbClr r="0" g="0" b="0"/>
          </a:lnRef>
          <a:fillRef idx="1">
            <a:schemeClr val="accent4">
              <a:alpha val="50000"/>
              <a:hueOff val="5197846"/>
              <a:satOff val="-23984"/>
              <a:lumOff val="883"/>
              <a:alphaOff val="0"/>
            </a:schemeClr>
          </a:fillRef>
          <a:effectRef idx="0">
            <a:schemeClr val="accent4">
              <a:alpha val="50000"/>
              <a:hueOff val="5197846"/>
              <a:satOff val="-23984"/>
              <a:lumOff val="883"/>
              <a:alphaOff val="0"/>
            </a:schemeClr>
          </a:effectRef>
          <a:fontRef idx="minor">
            <a:schemeClr val="tx1"/>
          </a:fontRef>
        </xdr:style>
      </xdr:sp>
      <xdr:sp macro="" textlink="">
        <xdr:nvSpPr>
          <xdr:cNvPr id="13" name="Oval 4">
            <a:extLst>
              <a:ext uri="{FF2B5EF4-FFF2-40B4-BE49-F238E27FC236}">
                <a16:creationId xmlns:a16="http://schemas.microsoft.com/office/drawing/2014/main" id="{37B40186-25DA-535D-B925-5A95ED480959}"/>
              </a:ext>
            </a:extLst>
          </xdr:cNvPr>
          <xdr:cNvSpPr txBox="1"/>
        </xdr:nvSpPr>
        <xdr:spPr>
          <a:xfrm>
            <a:off x="4289454" y="3085919"/>
            <a:ext cx="2047798" cy="1877148"/>
          </a:xfrm>
          <a:prstGeom prst="rect">
            <a:avLst/>
          </a:prstGeom>
        </xdr:spPr>
        <xdr:style>
          <a:lnRef idx="0">
            <a:scrgbClr r="0" g="0" b="0"/>
          </a:lnRef>
          <a:fillRef idx="0">
            <a:scrgbClr r="0" g="0" b="0"/>
          </a:fillRef>
          <a:effectRef idx="0">
            <a:scrgbClr r="0" g="0" b="0"/>
          </a:effectRef>
          <a:fontRef idx="minor">
            <a:schemeClr val="tx1"/>
          </a:fontRef>
        </xdr:style>
        <xdr:txBody>
          <a:bodyPr spcFirstLastPara="0" vert="horz" wrap="square" lIns="0" tIns="0" rIns="0" bIns="0" numCol="1" spcCol="1270" anchor="ctr" anchorCtr="0">
            <a:noAutofit/>
          </a:bodyPr>
          <a:lstStyle/>
          <a:p>
            <a:pPr marL="0" lvl="0" indent="0" algn="ctr" defTabSz="2889250">
              <a:lnSpc>
                <a:spcPct val="90000"/>
              </a:lnSpc>
              <a:spcBef>
                <a:spcPct val="0"/>
              </a:spcBef>
              <a:spcAft>
                <a:spcPct val="35000"/>
              </a:spcAft>
              <a:buNone/>
            </a:pPr>
            <a:endParaRPr lang="en-US" sz="6500" kern="1200"/>
          </a:p>
        </xdr:txBody>
      </xdr:sp>
    </xdr:grpSp>
    <xdr:clientData/>
  </xdr:twoCellAnchor>
  <xdr:twoCellAnchor>
    <xdr:from>
      <xdr:col>2</xdr:col>
      <xdr:colOff>2197100</xdr:colOff>
      <xdr:row>75</xdr:row>
      <xdr:rowOff>89275</xdr:rowOff>
    </xdr:from>
    <xdr:to>
      <xdr:col>3</xdr:col>
      <xdr:colOff>3158998</xdr:colOff>
      <xdr:row>96</xdr:row>
      <xdr:rowOff>60198</xdr:rowOff>
    </xdr:to>
    <xdr:grpSp>
      <xdr:nvGrpSpPr>
        <xdr:cNvPr id="4" name="Group 3">
          <a:extLst>
            <a:ext uri="{FF2B5EF4-FFF2-40B4-BE49-F238E27FC236}">
              <a16:creationId xmlns:a16="http://schemas.microsoft.com/office/drawing/2014/main" id="{D2831382-71AF-78A8-CC39-D0521259EC94}"/>
            </a:ext>
          </a:extLst>
        </xdr:cNvPr>
        <xdr:cNvGrpSpPr/>
      </xdr:nvGrpSpPr>
      <xdr:grpSpPr>
        <a:xfrm>
          <a:off x="4419600" y="15721481"/>
          <a:ext cx="3408516" cy="3892982"/>
          <a:chOff x="1972920" y="715785"/>
          <a:chExt cx="3412998" cy="3971423"/>
        </a:xfrm>
        <a:effectLst>
          <a:glow rad="228600">
            <a:schemeClr val="accent3">
              <a:satMod val="175000"/>
              <a:alpha val="40000"/>
            </a:schemeClr>
          </a:glow>
        </a:effectLst>
      </xdr:grpSpPr>
      <xdr:sp macro="" textlink="">
        <xdr:nvSpPr>
          <xdr:cNvPr id="5" name="Oval 4">
            <a:extLst>
              <a:ext uri="{FF2B5EF4-FFF2-40B4-BE49-F238E27FC236}">
                <a16:creationId xmlns:a16="http://schemas.microsoft.com/office/drawing/2014/main" id="{694489C2-678E-D315-CD7C-F060D7A7FA04}"/>
              </a:ext>
            </a:extLst>
          </xdr:cNvPr>
          <xdr:cNvSpPr/>
        </xdr:nvSpPr>
        <xdr:spPr>
          <a:xfrm>
            <a:off x="1972920" y="1274210"/>
            <a:ext cx="3412998" cy="3412998"/>
          </a:xfrm>
          <a:prstGeom prst="ellipse">
            <a:avLst/>
          </a:prstGeom>
          <a:ln>
            <a:solidFill>
              <a:srgbClr val="FF0000"/>
            </a:solidFill>
          </a:ln>
        </xdr:spPr>
        <xdr:style>
          <a:lnRef idx="2">
            <a:scrgbClr r="0" g="0" b="0"/>
          </a:lnRef>
          <a:fillRef idx="1">
            <a:schemeClr val="accent4">
              <a:alpha val="50000"/>
              <a:hueOff val="0"/>
              <a:satOff val="0"/>
              <a:lumOff val="0"/>
              <a:alphaOff val="0"/>
            </a:schemeClr>
          </a:fillRef>
          <a:effectRef idx="0">
            <a:schemeClr val="accent4">
              <a:alpha val="50000"/>
              <a:hueOff val="0"/>
              <a:satOff val="0"/>
              <a:lumOff val="0"/>
              <a:alphaOff val="0"/>
            </a:schemeClr>
          </a:effectRef>
          <a:fontRef idx="minor">
            <a:schemeClr val="tx1"/>
          </a:fontRef>
        </xdr:style>
      </xdr:sp>
      <xdr:sp macro="" textlink="">
        <xdr:nvSpPr>
          <xdr:cNvPr id="6" name="Oval 4">
            <a:extLst>
              <a:ext uri="{FF2B5EF4-FFF2-40B4-BE49-F238E27FC236}">
                <a16:creationId xmlns:a16="http://schemas.microsoft.com/office/drawing/2014/main" id="{F6ED1F8A-A4D3-5ACA-68F1-8D900762E955}"/>
              </a:ext>
            </a:extLst>
          </xdr:cNvPr>
          <xdr:cNvSpPr txBox="1"/>
        </xdr:nvSpPr>
        <xdr:spPr>
          <a:xfrm>
            <a:off x="2453386" y="715785"/>
            <a:ext cx="2502865" cy="1535849"/>
          </a:xfrm>
          <a:prstGeom prst="rect">
            <a:avLst/>
          </a:prstGeom>
        </xdr:spPr>
        <xdr:style>
          <a:lnRef idx="0">
            <a:scrgbClr r="0" g="0" b="0"/>
          </a:lnRef>
          <a:fillRef idx="0">
            <a:scrgbClr r="0" g="0" b="0"/>
          </a:fillRef>
          <a:effectRef idx="0">
            <a:scrgbClr r="0" g="0" b="0"/>
          </a:effectRef>
          <a:fontRef idx="minor">
            <a:schemeClr val="tx1"/>
          </a:fontRef>
        </xdr:style>
        <xdr:txBody>
          <a:bodyPr spcFirstLastPara="0" vert="horz" wrap="square" lIns="0" tIns="0" rIns="0" bIns="0" numCol="1" spcCol="1270" anchor="ctr" anchorCtr="0">
            <a:noAutofit/>
          </a:bodyPr>
          <a:lstStyle/>
          <a:p>
            <a:pPr marL="0" lvl="0" indent="0" algn="ctr" defTabSz="2889250">
              <a:lnSpc>
                <a:spcPct val="90000"/>
              </a:lnSpc>
              <a:spcBef>
                <a:spcPct val="0"/>
              </a:spcBef>
              <a:spcAft>
                <a:spcPct val="35000"/>
              </a:spcAft>
              <a:buNone/>
            </a:pPr>
            <a:endParaRPr lang="en-US" sz="6500" kern="1200"/>
          </a:p>
        </xdr:txBody>
      </xdr:sp>
    </xdr:grpSp>
    <xdr:clientData/>
  </xdr:twoCellAnchor>
  <xdr:twoCellAnchor>
    <xdr:from>
      <xdr:col>3</xdr:col>
      <xdr:colOff>2705100</xdr:colOff>
      <xdr:row>43</xdr:row>
      <xdr:rowOff>81592</xdr:rowOff>
    </xdr:from>
    <xdr:to>
      <xdr:col>4</xdr:col>
      <xdr:colOff>1977898</xdr:colOff>
      <xdr:row>96</xdr:row>
      <xdr:rowOff>60198</xdr:rowOff>
    </xdr:to>
    <xdr:grpSp>
      <xdr:nvGrpSpPr>
        <xdr:cNvPr id="7" name="Group 6">
          <a:extLst>
            <a:ext uri="{FF2B5EF4-FFF2-40B4-BE49-F238E27FC236}">
              <a16:creationId xmlns:a16="http://schemas.microsoft.com/office/drawing/2014/main" id="{9304F877-D103-4FAA-F6BB-EF2168CAA5D8}"/>
            </a:ext>
          </a:extLst>
        </xdr:cNvPr>
        <xdr:cNvGrpSpPr/>
      </xdr:nvGrpSpPr>
      <xdr:grpSpPr>
        <a:xfrm>
          <a:off x="7374218" y="9737327"/>
          <a:ext cx="3418974" cy="9877136"/>
          <a:chOff x="3393119" y="3085919"/>
          <a:chExt cx="3412998" cy="10799006"/>
        </a:xfrm>
        <a:effectLst>
          <a:glow rad="228600">
            <a:schemeClr val="accent4">
              <a:satMod val="175000"/>
              <a:alpha val="40000"/>
            </a:schemeClr>
          </a:glow>
        </a:effectLst>
      </xdr:grpSpPr>
      <xdr:sp macro="" textlink="">
        <xdr:nvSpPr>
          <xdr:cNvPr id="8" name="Oval 7">
            <a:extLst>
              <a:ext uri="{FF2B5EF4-FFF2-40B4-BE49-F238E27FC236}">
                <a16:creationId xmlns:a16="http://schemas.microsoft.com/office/drawing/2014/main" id="{5A55E0AF-A15D-303C-8BFC-0C912864BB45}"/>
              </a:ext>
            </a:extLst>
          </xdr:cNvPr>
          <xdr:cNvSpPr/>
        </xdr:nvSpPr>
        <xdr:spPr>
          <a:xfrm>
            <a:off x="3393119" y="10471927"/>
            <a:ext cx="3412998" cy="3412998"/>
          </a:xfrm>
          <a:prstGeom prst="ellipse">
            <a:avLst/>
          </a:prstGeom>
          <a:ln>
            <a:solidFill>
              <a:srgbClr val="FF0000"/>
            </a:solidFill>
          </a:ln>
        </xdr:spPr>
        <xdr:style>
          <a:lnRef idx="2">
            <a:scrgbClr r="0" g="0" b="0"/>
          </a:lnRef>
          <a:fillRef idx="1">
            <a:schemeClr val="accent4">
              <a:alpha val="50000"/>
              <a:hueOff val="5197846"/>
              <a:satOff val="-23984"/>
              <a:lumOff val="883"/>
              <a:alphaOff val="0"/>
            </a:schemeClr>
          </a:fillRef>
          <a:effectRef idx="0">
            <a:schemeClr val="accent4">
              <a:alpha val="50000"/>
              <a:hueOff val="5197846"/>
              <a:satOff val="-23984"/>
              <a:lumOff val="883"/>
              <a:alphaOff val="0"/>
            </a:schemeClr>
          </a:effectRef>
          <a:fontRef idx="minor">
            <a:schemeClr val="tx1"/>
          </a:fontRef>
        </xdr:style>
      </xdr:sp>
      <xdr:sp macro="" textlink="">
        <xdr:nvSpPr>
          <xdr:cNvPr id="9" name="Oval 4">
            <a:extLst>
              <a:ext uri="{FF2B5EF4-FFF2-40B4-BE49-F238E27FC236}">
                <a16:creationId xmlns:a16="http://schemas.microsoft.com/office/drawing/2014/main" id="{25F96072-02A5-E343-300A-E873E2728A14}"/>
              </a:ext>
            </a:extLst>
          </xdr:cNvPr>
          <xdr:cNvSpPr txBox="1"/>
        </xdr:nvSpPr>
        <xdr:spPr>
          <a:xfrm>
            <a:off x="4289454" y="3085919"/>
            <a:ext cx="2047798" cy="1877148"/>
          </a:xfrm>
          <a:prstGeom prst="rect">
            <a:avLst/>
          </a:prstGeom>
        </xdr:spPr>
        <xdr:style>
          <a:lnRef idx="0">
            <a:scrgbClr r="0" g="0" b="0"/>
          </a:lnRef>
          <a:fillRef idx="0">
            <a:scrgbClr r="0" g="0" b="0"/>
          </a:fillRef>
          <a:effectRef idx="0">
            <a:scrgbClr r="0" g="0" b="0"/>
          </a:effectRef>
          <a:fontRef idx="minor">
            <a:schemeClr val="tx1"/>
          </a:fontRef>
        </xdr:style>
        <xdr:txBody>
          <a:bodyPr spcFirstLastPara="0" vert="horz" wrap="square" lIns="0" tIns="0" rIns="0" bIns="0" numCol="1" spcCol="1270" anchor="ctr" anchorCtr="0">
            <a:noAutofit/>
          </a:bodyPr>
          <a:lstStyle/>
          <a:p>
            <a:pPr marL="0" lvl="0" indent="0" algn="ctr" defTabSz="2889250">
              <a:lnSpc>
                <a:spcPct val="90000"/>
              </a:lnSpc>
              <a:spcBef>
                <a:spcPct val="0"/>
              </a:spcBef>
              <a:spcAft>
                <a:spcPct val="35000"/>
              </a:spcAft>
              <a:buNone/>
            </a:pPr>
            <a:endParaRPr lang="en-US" sz="6500" kern="1200"/>
          </a:p>
        </xdr:txBody>
      </xdr:sp>
    </xdr:grpSp>
    <xdr:clientData/>
  </xdr:twoCellAnchor>
  <xdr:twoCellAnchor>
    <xdr:from>
      <xdr:col>3</xdr:col>
      <xdr:colOff>2705100</xdr:colOff>
      <xdr:row>72</xdr:row>
      <xdr:rowOff>0</xdr:rowOff>
    </xdr:from>
    <xdr:to>
      <xdr:col>3</xdr:col>
      <xdr:colOff>4082206</xdr:colOff>
      <xdr:row>73</xdr:row>
      <xdr:rowOff>0</xdr:rowOff>
    </xdr:to>
    <xdr:sp macro="" textlink="">
      <xdr:nvSpPr>
        <xdr:cNvPr id="14" name="TextBox 13">
          <a:extLst>
            <a:ext uri="{FF2B5EF4-FFF2-40B4-BE49-F238E27FC236}">
              <a16:creationId xmlns:a16="http://schemas.microsoft.com/office/drawing/2014/main" id="{44160A46-913C-D626-72BE-02E965574BE2}"/>
            </a:ext>
          </a:extLst>
        </xdr:cNvPr>
        <xdr:cNvSpPr txBox="1"/>
      </xdr:nvSpPr>
      <xdr:spPr>
        <a:xfrm>
          <a:off x="11099800" y="4838700"/>
          <a:ext cx="1377106" cy="3302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Loyalty Program</a:t>
          </a:r>
        </a:p>
      </xdr:txBody>
    </xdr:sp>
    <xdr:clientData/>
  </xdr:twoCellAnchor>
  <xdr:twoCellAnchor>
    <xdr:from>
      <xdr:col>3</xdr:col>
      <xdr:colOff>226466</xdr:colOff>
      <xdr:row>83</xdr:row>
      <xdr:rowOff>0</xdr:rowOff>
    </xdr:from>
    <xdr:to>
      <xdr:col>3</xdr:col>
      <xdr:colOff>1371600</xdr:colOff>
      <xdr:row>84</xdr:row>
      <xdr:rowOff>0</xdr:rowOff>
    </xdr:to>
    <xdr:sp macro="" textlink="">
      <xdr:nvSpPr>
        <xdr:cNvPr id="15" name="TextBox 14">
          <a:extLst>
            <a:ext uri="{FF2B5EF4-FFF2-40B4-BE49-F238E27FC236}">
              <a16:creationId xmlns:a16="http://schemas.microsoft.com/office/drawing/2014/main" id="{C94B16A3-BF5B-6894-DFA0-208A2C858C57}"/>
            </a:ext>
          </a:extLst>
        </xdr:cNvPr>
        <xdr:cNvSpPr txBox="1"/>
      </xdr:nvSpPr>
      <xdr:spPr>
        <a:xfrm>
          <a:off x="8621166" y="7188200"/>
          <a:ext cx="1145134" cy="1905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t>Female</a:t>
          </a:r>
        </a:p>
      </xdr:txBody>
    </xdr:sp>
    <xdr:clientData/>
  </xdr:twoCellAnchor>
  <xdr:twoCellAnchor>
    <xdr:from>
      <xdr:col>4</xdr:col>
      <xdr:colOff>644398</xdr:colOff>
      <xdr:row>83</xdr:row>
      <xdr:rowOff>101124</xdr:rowOff>
    </xdr:from>
    <xdr:to>
      <xdr:col>4</xdr:col>
      <xdr:colOff>1275506</xdr:colOff>
      <xdr:row>85</xdr:row>
      <xdr:rowOff>0</xdr:rowOff>
    </xdr:to>
    <xdr:sp macro="" textlink="">
      <xdr:nvSpPr>
        <xdr:cNvPr id="16" name="TextBox 15">
          <a:extLst>
            <a:ext uri="{FF2B5EF4-FFF2-40B4-BE49-F238E27FC236}">
              <a16:creationId xmlns:a16="http://schemas.microsoft.com/office/drawing/2014/main" id="{0DBB395D-FCBE-D6BA-65A4-A64B7E8622DB}"/>
            </a:ext>
          </a:extLst>
        </xdr:cNvPr>
        <xdr:cNvSpPr txBox="1"/>
      </xdr:nvSpPr>
      <xdr:spPr>
        <a:xfrm>
          <a:off x="13179298" y="7289324"/>
          <a:ext cx="631108" cy="27987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Male</a:t>
          </a:r>
        </a:p>
      </xdr:txBody>
    </xdr:sp>
    <xdr:clientData/>
  </xdr:twoCellAnchor>
  <xdr:twoCellAnchor>
    <xdr:from>
      <xdr:col>3</xdr:col>
      <xdr:colOff>2729331</xdr:colOff>
      <xdr:row>87</xdr:row>
      <xdr:rowOff>0</xdr:rowOff>
    </xdr:from>
    <xdr:to>
      <xdr:col>3</xdr:col>
      <xdr:colOff>3158998</xdr:colOff>
      <xdr:row>88</xdr:row>
      <xdr:rowOff>0</xdr:rowOff>
    </xdr:to>
    <xdr:sp macro="" textlink="">
      <xdr:nvSpPr>
        <xdr:cNvPr id="17" name="TextBox 16">
          <a:extLst>
            <a:ext uri="{FF2B5EF4-FFF2-40B4-BE49-F238E27FC236}">
              <a16:creationId xmlns:a16="http://schemas.microsoft.com/office/drawing/2014/main" id="{8AC5B7F9-C0A5-7070-3730-CBF6FD724485}"/>
            </a:ext>
          </a:extLst>
        </xdr:cNvPr>
        <xdr:cNvSpPr txBox="1"/>
      </xdr:nvSpPr>
      <xdr:spPr>
        <a:xfrm>
          <a:off x="11124031" y="7950200"/>
          <a:ext cx="429667" cy="1905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t>0</a:t>
          </a:r>
        </a:p>
      </xdr:txBody>
    </xdr:sp>
    <xdr:clientData/>
  </xdr:twoCellAnchor>
  <xdr:twoCellAnchor>
    <xdr:from>
      <xdr:col>3</xdr:col>
      <xdr:colOff>2729331</xdr:colOff>
      <xdr:row>68</xdr:row>
      <xdr:rowOff>0</xdr:rowOff>
    </xdr:from>
    <xdr:to>
      <xdr:col>3</xdr:col>
      <xdr:colOff>3367908</xdr:colOff>
      <xdr:row>69</xdr:row>
      <xdr:rowOff>0</xdr:rowOff>
    </xdr:to>
    <xdr:sp macro="" textlink="">
      <xdr:nvSpPr>
        <xdr:cNvPr id="18" name="TextBox 17">
          <a:extLst>
            <a:ext uri="{FF2B5EF4-FFF2-40B4-BE49-F238E27FC236}">
              <a16:creationId xmlns:a16="http://schemas.microsoft.com/office/drawing/2014/main" id="{1706E2D7-74A6-EB2A-B288-86A541779B33}"/>
            </a:ext>
          </a:extLst>
        </xdr:cNvPr>
        <xdr:cNvSpPr txBox="1"/>
      </xdr:nvSpPr>
      <xdr:spPr>
        <a:xfrm>
          <a:off x="11145198" y="14494933"/>
          <a:ext cx="638577" cy="18626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235</a:t>
          </a:r>
        </a:p>
      </xdr:txBody>
    </xdr:sp>
    <xdr:clientData/>
  </xdr:twoCellAnchor>
  <xdr:twoCellAnchor>
    <xdr:from>
      <xdr:col>4</xdr:col>
      <xdr:colOff>2002129</xdr:colOff>
      <xdr:row>87</xdr:row>
      <xdr:rowOff>0</xdr:rowOff>
    </xdr:from>
    <xdr:to>
      <xdr:col>4</xdr:col>
      <xdr:colOff>2640706</xdr:colOff>
      <xdr:row>88</xdr:row>
      <xdr:rowOff>0</xdr:rowOff>
    </xdr:to>
    <xdr:sp macro="" textlink="">
      <xdr:nvSpPr>
        <xdr:cNvPr id="20" name="TextBox 19">
          <a:extLst>
            <a:ext uri="{FF2B5EF4-FFF2-40B4-BE49-F238E27FC236}">
              <a16:creationId xmlns:a16="http://schemas.microsoft.com/office/drawing/2014/main" id="{91128339-8969-9D43-B0C3-7A93CACAD1EF}"/>
            </a:ext>
          </a:extLst>
        </xdr:cNvPr>
        <xdr:cNvSpPr txBox="1"/>
      </xdr:nvSpPr>
      <xdr:spPr>
        <a:xfrm>
          <a:off x="14537029" y="7950200"/>
          <a:ext cx="638577" cy="1905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196</a:t>
          </a:r>
        </a:p>
      </xdr:txBody>
    </xdr:sp>
    <xdr:clientData/>
  </xdr:twoCellAnchor>
  <xdr:twoCellAnchor>
    <xdr:from>
      <xdr:col>2</xdr:col>
      <xdr:colOff>1558523</xdr:colOff>
      <xdr:row>87</xdr:row>
      <xdr:rowOff>0</xdr:rowOff>
    </xdr:from>
    <xdr:to>
      <xdr:col>2</xdr:col>
      <xdr:colOff>2197100</xdr:colOff>
      <xdr:row>88</xdr:row>
      <xdr:rowOff>0</xdr:rowOff>
    </xdr:to>
    <xdr:sp macro="" textlink="">
      <xdr:nvSpPr>
        <xdr:cNvPr id="21" name="TextBox 20">
          <a:extLst>
            <a:ext uri="{FF2B5EF4-FFF2-40B4-BE49-F238E27FC236}">
              <a16:creationId xmlns:a16="http://schemas.microsoft.com/office/drawing/2014/main" id="{BC865B4B-D757-7340-BBFE-FCD7BD87D041}"/>
            </a:ext>
          </a:extLst>
        </xdr:cNvPr>
        <xdr:cNvSpPr txBox="1"/>
      </xdr:nvSpPr>
      <xdr:spPr>
        <a:xfrm>
          <a:off x="7502123" y="7950200"/>
          <a:ext cx="638577" cy="1905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190</a:t>
          </a:r>
        </a:p>
      </xdr:txBody>
    </xdr:sp>
    <xdr:clientData/>
  </xdr:twoCellAnchor>
  <xdr:twoCellAnchor>
    <xdr:from>
      <xdr:col>3</xdr:col>
      <xdr:colOff>2005706</xdr:colOff>
      <xdr:row>81</xdr:row>
      <xdr:rowOff>0</xdr:rowOff>
    </xdr:from>
    <xdr:to>
      <xdr:col>3</xdr:col>
      <xdr:colOff>2644283</xdr:colOff>
      <xdr:row>82</xdr:row>
      <xdr:rowOff>0</xdr:rowOff>
    </xdr:to>
    <xdr:sp macro="" textlink="">
      <xdr:nvSpPr>
        <xdr:cNvPr id="22" name="TextBox 21">
          <a:extLst>
            <a:ext uri="{FF2B5EF4-FFF2-40B4-BE49-F238E27FC236}">
              <a16:creationId xmlns:a16="http://schemas.microsoft.com/office/drawing/2014/main" id="{EC9B6883-A056-A14C-BF74-E2DB6EFF6329}"/>
            </a:ext>
          </a:extLst>
        </xdr:cNvPr>
        <xdr:cNvSpPr txBox="1"/>
      </xdr:nvSpPr>
      <xdr:spPr>
        <a:xfrm>
          <a:off x="10400406" y="6807200"/>
          <a:ext cx="638577" cy="1905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99</a:t>
          </a:r>
        </a:p>
      </xdr:txBody>
    </xdr:sp>
    <xdr:clientData/>
  </xdr:twoCellAnchor>
  <xdr:twoCellAnchor>
    <xdr:from>
      <xdr:col>3</xdr:col>
      <xdr:colOff>3501623</xdr:colOff>
      <xdr:row>81</xdr:row>
      <xdr:rowOff>0</xdr:rowOff>
    </xdr:from>
    <xdr:to>
      <xdr:col>4</xdr:col>
      <xdr:colOff>0</xdr:colOff>
      <xdr:row>82</xdr:row>
      <xdr:rowOff>0</xdr:rowOff>
    </xdr:to>
    <xdr:sp macro="" textlink="">
      <xdr:nvSpPr>
        <xdr:cNvPr id="23" name="TextBox 22">
          <a:extLst>
            <a:ext uri="{FF2B5EF4-FFF2-40B4-BE49-F238E27FC236}">
              <a16:creationId xmlns:a16="http://schemas.microsoft.com/office/drawing/2014/main" id="{8C672F87-EFAB-5146-884E-B4E9220BF2D3}"/>
            </a:ext>
          </a:extLst>
        </xdr:cNvPr>
        <xdr:cNvSpPr txBox="1"/>
      </xdr:nvSpPr>
      <xdr:spPr>
        <a:xfrm>
          <a:off x="11896323" y="6807200"/>
          <a:ext cx="638577" cy="1905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127</a:t>
          </a:r>
        </a:p>
      </xdr:txBody>
    </xdr:sp>
    <xdr:clientData/>
  </xdr:twoCellAnchor>
  <xdr:twoCellAnchor>
    <xdr:from>
      <xdr:col>3</xdr:col>
      <xdr:colOff>1840606</xdr:colOff>
      <xdr:row>68</xdr:row>
      <xdr:rowOff>0</xdr:rowOff>
    </xdr:from>
    <xdr:to>
      <xdr:col>3</xdr:col>
      <xdr:colOff>2479183</xdr:colOff>
      <xdr:row>69</xdr:row>
      <xdr:rowOff>0</xdr:rowOff>
    </xdr:to>
    <xdr:sp macro="" textlink="">
      <xdr:nvSpPr>
        <xdr:cNvPr id="24" name="TextBox 23">
          <a:extLst>
            <a:ext uri="{FF2B5EF4-FFF2-40B4-BE49-F238E27FC236}">
              <a16:creationId xmlns:a16="http://schemas.microsoft.com/office/drawing/2014/main" id="{43582FB0-459E-9F4B-B902-A37D627351E5}"/>
            </a:ext>
          </a:extLst>
        </xdr:cNvPr>
        <xdr:cNvSpPr txBox="1"/>
      </xdr:nvSpPr>
      <xdr:spPr>
        <a:xfrm>
          <a:off x="10256473" y="14494933"/>
          <a:ext cx="638577" cy="186267"/>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t>A</a:t>
          </a:r>
        </a:p>
      </xdr:txBody>
    </xdr:sp>
    <xdr:clientData/>
  </xdr:twoCellAnchor>
  <xdr:twoCellAnchor>
    <xdr:from>
      <xdr:col>4</xdr:col>
      <xdr:colOff>1977898</xdr:colOff>
      <xdr:row>82</xdr:row>
      <xdr:rowOff>0</xdr:rowOff>
    </xdr:from>
    <xdr:to>
      <xdr:col>4</xdr:col>
      <xdr:colOff>2616475</xdr:colOff>
      <xdr:row>83</xdr:row>
      <xdr:rowOff>0</xdr:rowOff>
    </xdr:to>
    <xdr:sp macro="" textlink="">
      <xdr:nvSpPr>
        <xdr:cNvPr id="25" name="TextBox 24">
          <a:extLst>
            <a:ext uri="{FF2B5EF4-FFF2-40B4-BE49-F238E27FC236}">
              <a16:creationId xmlns:a16="http://schemas.microsoft.com/office/drawing/2014/main" id="{3D91B036-BB80-274F-8A29-608DDFB45CCD}"/>
            </a:ext>
          </a:extLst>
        </xdr:cNvPr>
        <xdr:cNvSpPr txBox="1"/>
      </xdr:nvSpPr>
      <xdr:spPr>
        <a:xfrm>
          <a:off x="14512798" y="6997700"/>
          <a:ext cx="638577" cy="19050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t>C</a:t>
          </a:r>
        </a:p>
      </xdr:txBody>
    </xdr:sp>
    <xdr:clientData/>
  </xdr:twoCellAnchor>
  <xdr:twoCellAnchor>
    <xdr:from>
      <xdr:col>2</xdr:col>
      <xdr:colOff>1549400</xdr:colOff>
      <xdr:row>82</xdr:row>
      <xdr:rowOff>0</xdr:rowOff>
    </xdr:from>
    <xdr:to>
      <xdr:col>2</xdr:col>
      <xdr:colOff>2187977</xdr:colOff>
      <xdr:row>83</xdr:row>
      <xdr:rowOff>0</xdr:rowOff>
    </xdr:to>
    <xdr:sp macro="" textlink="">
      <xdr:nvSpPr>
        <xdr:cNvPr id="26" name="TextBox 25">
          <a:extLst>
            <a:ext uri="{FF2B5EF4-FFF2-40B4-BE49-F238E27FC236}">
              <a16:creationId xmlns:a16="http://schemas.microsoft.com/office/drawing/2014/main" id="{0C617F28-A9C1-E44C-AB0D-6E4E3ECCCF32}"/>
            </a:ext>
          </a:extLst>
        </xdr:cNvPr>
        <xdr:cNvSpPr txBox="1"/>
      </xdr:nvSpPr>
      <xdr:spPr>
        <a:xfrm>
          <a:off x="7493000" y="6997700"/>
          <a:ext cx="638577" cy="19050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t>B</a:t>
          </a:r>
        </a:p>
      </xdr:txBody>
    </xdr:sp>
    <xdr:clientData/>
  </xdr:twoCellAnchor>
  <xdr:twoCellAnchor>
    <xdr:from>
      <xdr:col>3</xdr:col>
      <xdr:colOff>324556</xdr:colOff>
      <xdr:row>35</xdr:row>
      <xdr:rowOff>0</xdr:rowOff>
    </xdr:from>
    <xdr:to>
      <xdr:col>6</xdr:col>
      <xdr:colOff>1230489</xdr:colOff>
      <xdr:row>64</xdr:row>
      <xdr:rowOff>0</xdr:rowOff>
    </xdr:to>
    <xdr:graphicFrame macro="">
      <xdr:nvGraphicFramePr>
        <xdr:cNvPr id="29" name="Chart 28">
          <a:extLst>
            <a:ext uri="{FF2B5EF4-FFF2-40B4-BE49-F238E27FC236}">
              <a16:creationId xmlns:a16="http://schemas.microsoft.com/office/drawing/2014/main" id="{C278D786-B30D-C225-AA02-03B78CBEAA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85</xdr:row>
      <xdr:rowOff>0</xdr:rowOff>
    </xdr:from>
    <xdr:to>
      <xdr:col>12</xdr:col>
      <xdr:colOff>0</xdr:colOff>
      <xdr:row>109</xdr:row>
      <xdr:rowOff>0</xdr:rowOff>
    </xdr:to>
    <xdr:graphicFrame macro="">
      <xdr:nvGraphicFramePr>
        <xdr:cNvPr id="7" name="Chart 6">
          <a:extLst>
            <a:ext uri="{FF2B5EF4-FFF2-40B4-BE49-F238E27FC236}">
              <a16:creationId xmlns:a16="http://schemas.microsoft.com/office/drawing/2014/main" id="{FBD4A3C5-F128-BB28-6951-7CBD7C5968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63</xdr:row>
      <xdr:rowOff>0</xdr:rowOff>
    </xdr:from>
    <xdr:to>
      <xdr:col>12</xdr:col>
      <xdr:colOff>0</xdr:colOff>
      <xdr:row>83</xdr:row>
      <xdr:rowOff>0</xdr:rowOff>
    </xdr:to>
    <xdr:graphicFrame macro="">
      <xdr:nvGraphicFramePr>
        <xdr:cNvPr id="8" name="Chart 7">
          <a:extLst>
            <a:ext uri="{FF2B5EF4-FFF2-40B4-BE49-F238E27FC236}">
              <a16:creationId xmlns:a16="http://schemas.microsoft.com/office/drawing/2014/main" id="{8C96441B-9F78-42D9-74DD-A55F28488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5</xdr:col>
      <xdr:colOff>853440</xdr:colOff>
      <xdr:row>14</xdr:row>
      <xdr:rowOff>19050</xdr:rowOff>
    </xdr:from>
    <xdr:ext cx="113236" cy="172227"/>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D265BB9E-948E-0241-9067-726B1D1E2BC6}"/>
                </a:ext>
              </a:extLst>
            </xdr:cNvPr>
            <xdr:cNvSpPr txBox="1"/>
          </xdr:nvSpPr>
          <xdr:spPr>
            <a:xfrm>
              <a:off x="7190740" y="1670050"/>
              <a:ext cx="11323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AU" sz="1100" b="1" i="1">
                            <a:solidFill>
                              <a:srgbClr val="0000FF"/>
                            </a:solidFill>
                            <a:effectLst/>
                            <a:latin typeface="Cambria Math" panose="02040503050406030204" pitchFamily="18" charset="0"/>
                            <a:ea typeface="+mn-ea"/>
                            <a:cs typeface="+mn-cs"/>
                          </a:rPr>
                        </m:ctrlPr>
                      </m:accPr>
                      <m:e>
                        <m:r>
                          <a:rPr lang="en-AU" sz="1100" b="1" i="1">
                            <a:solidFill>
                              <a:srgbClr val="0000FF"/>
                            </a:solidFill>
                            <a:effectLst/>
                            <a:latin typeface="Cambria Math" panose="02040503050406030204" pitchFamily="18" charset="0"/>
                            <a:ea typeface="+mn-ea"/>
                            <a:cs typeface="+mn-cs"/>
                          </a:rPr>
                          <m:t>𝒙</m:t>
                        </m:r>
                      </m:e>
                    </m:acc>
                  </m:oMath>
                </m:oMathPara>
              </a14:m>
              <a:endParaRPr lang="en-AU" sz="1100" b="1">
                <a:solidFill>
                  <a:srgbClr val="0000FF"/>
                </a:solidFill>
              </a:endParaRPr>
            </a:p>
          </xdr:txBody>
        </xdr:sp>
      </mc:Choice>
      <mc:Fallback>
        <xdr:sp macro="" textlink="">
          <xdr:nvSpPr>
            <xdr:cNvPr id="2" name="TextBox 1">
              <a:extLst>
                <a:ext uri="{FF2B5EF4-FFF2-40B4-BE49-F238E27FC236}">
                  <a16:creationId xmlns:a16="http://schemas.microsoft.com/office/drawing/2014/main" id="{D265BB9E-948E-0241-9067-726B1D1E2BC6}"/>
                </a:ext>
              </a:extLst>
            </xdr:cNvPr>
            <xdr:cNvSpPr txBox="1"/>
          </xdr:nvSpPr>
          <xdr:spPr>
            <a:xfrm>
              <a:off x="7190740" y="1670050"/>
              <a:ext cx="11323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1" i="0">
                  <a:solidFill>
                    <a:srgbClr val="0000FF"/>
                  </a:solidFill>
                  <a:effectLst/>
                  <a:latin typeface="Cambria Math" panose="02040503050406030204" pitchFamily="18" charset="0"/>
                  <a:ea typeface="+mn-ea"/>
                  <a:cs typeface="+mn-cs"/>
                </a:rPr>
                <a:t>𝒙 ̅</a:t>
              </a:r>
              <a:endParaRPr lang="en-AU" sz="1100" b="1">
                <a:solidFill>
                  <a:srgbClr val="0000FF"/>
                </a:solidFill>
              </a:endParaRPr>
            </a:p>
          </xdr:txBody>
        </xdr:sp>
      </mc:Fallback>
    </mc:AlternateContent>
    <xdr:clientData/>
  </xdr:oneCellAnchor>
  <xdr:oneCellAnchor>
    <xdr:from>
      <xdr:col>5</xdr:col>
      <xdr:colOff>1478280</xdr:colOff>
      <xdr:row>17</xdr:row>
      <xdr:rowOff>110490</xdr:rowOff>
    </xdr:from>
    <xdr:ext cx="65" cy="172227"/>
    <xdr:sp macro="" textlink="">
      <xdr:nvSpPr>
        <xdr:cNvPr id="3" name="TextBox 2">
          <a:extLst>
            <a:ext uri="{FF2B5EF4-FFF2-40B4-BE49-F238E27FC236}">
              <a16:creationId xmlns:a16="http://schemas.microsoft.com/office/drawing/2014/main" id="{9C53F5C4-123A-8F41-A998-7C253A1FF39B}"/>
            </a:ext>
          </a:extLst>
        </xdr:cNvPr>
        <xdr:cNvSpPr txBox="1"/>
      </xdr:nvSpPr>
      <xdr:spPr>
        <a:xfrm>
          <a:off x="7815580" y="228219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AU" sz="1100"/>
        </a:p>
      </xdr:txBody>
    </xdr:sp>
    <xdr:clientData/>
  </xdr:oneCellAnchor>
  <xdr:oneCellAnchor>
    <xdr:from>
      <xdr:col>5</xdr:col>
      <xdr:colOff>1598294</xdr:colOff>
      <xdr:row>19</xdr:row>
      <xdr:rowOff>9525</xdr:rowOff>
    </xdr:from>
    <xdr:ext cx="725805" cy="178895"/>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52EC8E26-2349-104B-8E2F-063FDB075750}"/>
                </a:ext>
              </a:extLst>
            </xdr:cNvPr>
            <xdr:cNvSpPr txBox="1"/>
          </xdr:nvSpPr>
          <xdr:spPr>
            <a:xfrm>
              <a:off x="7935594" y="2536825"/>
              <a:ext cx="725805" cy="1788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AU" sz="1100" b="1">
                  <a:solidFill>
                    <a:srgbClr val="0000FF"/>
                  </a:solidFill>
                </a:rPr>
                <a:t>SE </a:t>
              </a:r>
              <a14:m>
                <m:oMath xmlns:m="http://schemas.openxmlformats.org/officeDocument/2006/math">
                  <m:f>
                    <m:fPr>
                      <m:type m:val="lin"/>
                      <m:ctrlPr>
                        <a:rPr lang="en-AU" sz="1100" b="1" i="1">
                          <a:solidFill>
                            <a:srgbClr val="0000FF"/>
                          </a:solidFill>
                          <a:latin typeface="Cambria Math" panose="02040503050406030204" pitchFamily="18" charset="0"/>
                        </a:rPr>
                      </m:ctrlPr>
                    </m:fPr>
                    <m:num>
                      <m:r>
                        <a:rPr lang="en-AU" sz="1100" b="1" i="1">
                          <a:solidFill>
                            <a:srgbClr val="0000FF"/>
                          </a:solidFill>
                          <a:latin typeface="Cambria Math" panose="02040503050406030204" pitchFamily="18" charset="0"/>
                        </a:rPr>
                        <m:t>=</m:t>
                      </m:r>
                      <m:r>
                        <a:rPr lang="en-AU" sz="1100" b="1" i="1">
                          <a:solidFill>
                            <a:srgbClr val="0000FF"/>
                          </a:solidFill>
                          <a:latin typeface="Cambria Math" panose="02040503050406030204" pitchFamily="18" charset="0"/>
                          <a:ea typeface="Cambria Math" panose="02040503050406030204" pitchFamily="18" charset="0"/>
                        </a:rPr>
                        <m:t>𝒔</m:t>
                      </m:r>
                    </m:num>
                    <m:den>
                      <m:rad>
                        <m:radPr>
                          <m:degHide m:val="on"/>
                          <m:ctrlPr>
                            <a:rPr lang="en-AU" sz="1100" b="1" i="1">
                              <a:solidFill>
                                <a:srgbClr val="0000FF"/>
                              </a:solidFill>
                              <a:latin typeface="Cambria Math" panose="02040503050406030204" pitchFamily="18" charset="0"/>
                            </a:rPr>
                          </m:ctrlPr>
                        </m:radPr>
                        <m:deg/>
                        <m:e>
                          <m:r>
                            <a:rPr lang="en-AU" sz="1100" b="1" i="1">
                              <a:solidFill>
                                <a:srgbClr val="0000FF"/>
                              </a:solidFill>
                              <a:latin typeface="Cambria Math" panose="02040503050406030204" pitchFamily="18" charset="0"/>
                            </a:rPr>
                            <m:t>𝒏</m:t>
                          </m:r>
                        </m:e>
                      </m:rad>
                    </m:den>
                  </m:f>
                </m:oMath>
              </a14:m>
              <a:endParaRPr lang="en-AU" sz="1100" b="1">
                <a:solidFill>
                  <a:srgbClr val="0000FF"/>
                </a:solidFill>
              </a:endParaRPr>
            </a:p>
          </xdr:txBody>
        </xdr:sp>
      </mc:Choice>
      <mc:Fallback>
        <xdr:sp macro="" textlink="">
          <xdr:nvSpPr>
            <xdr:cNvPr id="4" name="TextBox 3">
              <a:extLst>
                <a:ext uri="{FF2B5EF4-FFF2-40B4-BE49-F238E27FC236}">
                  <a16:creationId xmlns:a16="http://schemas.microsoft.com/office/drawing/2014/main" id="{52EC8E26-2349-104B-8E2F-063FDB075750}"/>
                </a:ext>
              </a:extLst>
            </xdr:cNvPr>
            <xdr:cNvSpPr txBox="1"/>
          </xdr:nvSpPr>
          <xdr:spPr>
            <a:xfrm>
              <a:off x="7935594" y="2536825"/>
              <a:ext cx="725805" cy="1788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AU" sz="1100" b="1">
                  <a:solidFill>
                    <a:srgbClr val="0000FF"/>
                  </a:solidFill>
                </a:rPr>
                <a:t>SE </a:t>
              </a:r>
              <a:r>
                <a:rPr lang="en-AU" sz="1100" b="1" i="0">
                  <a:solidFill>
                    <a:srgbClr val="0000FF"/>
                  </a:solidFill>
                  <a:latin typeface="Cambria Math" panose="02040503050406030204" pitchFamily="18" charset="0"/>
                </a:rPr>
                <a:t>〖=</a:t>
              </a:r>
              <a:r>
                <a:rPr lang="en-AU" sz="1100" b="1" i="0">
                  <a:solidFill>
                    <a:srgbClr val="0000FF"/>
                  </a:solidFill>
                  <a:latin typeface="Cambria Math" panose="02040503050406030204" pitchFamily="18" charset="0"/>
                  <a:ea typeface="Cambria Math" panose="02040503050406030204" pitchFamily="18" charset="0"/>
                </a:rPr>
                <a:t>𝒔〗∕√</a:t>
              </a:r>
              <a:r>
                <a:rPr lang="en-AU" sz="1100" b="1" i="0">
                  <a:solidFill>
                    <a:srgbClr val="0000FF"/>
                  </a:solidFill>
                  <a:latin typeface="Cambria Math" panose="02040503050406030204" pitchFamily="18" charset="0"/>
                </a:rPr>
                <a:t>𝒏</a:t>
              </a:r>
              <a:endParaRPr lang="en-AU" sz="1100" b="1">
                <a:solidFill>
                  <a:srgbClr val="0000FF"/>
                </a:solidFill>
              </a:endParaRPr>
            </a:p>
          </xdr:txBody>
        </xdr:sp>
      </mc:Fallback>
    </mc:AlternateContent>
    <xdr:clientData/>
  </xdr:oneCellAnchor>
  <xdr:twoCellAnchor>
    <xdr:from>
      <xdr:col>3</xdr:col>
      <xdr:colOff>469900</xdr:colOff>
      <xdr:row>35</xdr:row>
      <xdr:rowOff>0</xdr:rowOff>
    </xdr:from>
    <xdr:to>
      <xdr:col>6</xdr:col>
      <xdr:colOff>609600</xdr:colOff>
      <xdr:row>57</xdr:row>
      <xdr:rowOff>76200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5A8D6474-55B7-CCBA-4D59-8713E5F889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02400" y="7213600"/>
              <a:ext cx="7264400" cy="45466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oneCellAnchor>
    <xdr:from>
      <xdr:col>2</xdr:col>
      <xdr:colOff>1889760</xdr:colOff>
      <xdr:row>43</xdr:row>
      <xdr:rowOff>163830</xdr:rowOff>
    </xdr:from>
    <xdr:ext cx="1205266" cy="204993"/>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499A98AB-09ED-6E42-A2C6-289A2EBB0B73}"/>
                </a:ext>
              </a:extLst>
            </xdr:cNvPr>
            <xdr:cNvSpPr txBox="1"/>
          </xdr:nvSpPr>
          <xdr:spPr>
            <a:xfrm>
              <a:off x="13700760" y="2881630"/>
              <a:ext cx="1205266" cy="2049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b="1" i="1">
                        <a:solidFill>
                          <a:srgbClr val="0000FF"/>
                        </a:solidFill>
                        <a:latin typeface="Cambria Math" panose="02040503050406030204" pitchFamily="18" charset="0"/>
                      </a:rPr>
                      <m:t>𝑺𝑬</m:t>
                    </m:r>
                    <m:r>
                      <a:rPr lang="en-AU" sz="1100" b="1" i="1">
                        <a:solidFill>
                          <a:srgbClr val="0000FF"/>
                        </a:solidFill>
                        <a:latin typeface="Cambria Math" panose="02040503050406030204" pitchFamily="18" charset="0"/>
                      </a:rPr>
                      <m:t>=</m:t>
                    </m:r>
                    <m:rad>
                      <m:radPr>
                        <m:degHide m:val="on"/>
                        <m:ctrlPr>
                          <a:rPr lang="en-AU" sz="1100" b="1" i="1">
                            <a:solidFill>
                              <a:srgbClr val="0000FF"/>
                            </a:solidFill>
                            <a:latin typeface="Cambria Math" panose="02040503050406030204" pitchFamily="18" charset="0"/>
                          </a:rPr>
                        </m:ctrlPr>
                      </m:radPr>
                      <m:deg/>
                      <m:e>
                        <m:f>
                          <m:fPr>
                            <m:type m:val="lin"/>
                            <m:ctrlPr>
                              <a:rPr lang="en-AU" sz="1100" b="1" i="1">
                                <a:solidFill>
                                  <a:srgbClr val="0000FF"/>
                                </a:solidFill>
                                <a:latin typeface="Cambria Math" panose="02040503050406030204" pitchFamily="18" charset="0"/>
                              </a:rPr>
                            </m:ctrlPr>
                          </m:fPr>
                          <m:num>
                            <m:r>
                              <a:rPr lang="en-AU" sz="1100" b="1" i="1">
                                <a:solidFill>
                                  <a:srgbClr val="0000FF"/>
                                </a:solidFill>
                                <a:latin typeface="Cambria Math" panose="02040503050406030204" pitchFamily="18" charset="0"/>
                              </a:rPr>
                              <m:t>𝒑</m:t>
                            </m:r>
                            <m:r>
                              <a:rPr lang="en-AU" sz="1100" b="1" i="1">
                                <a:solidFill>
                                  <a:srgbClr val="0000FF"/>
                                </a:solidFill>
                                <a:latin typeface="Cambria Math" panose="02040503050406030204" pitchFamily="18" charset="0"/>
                              </a:rPr>
                              <m:t>(</m:t>
                            </m:r>
                            <m:r>
                              <a:rPr lang="en-AU" sz="1100" b="1" i="1">
                                <a:solidFill>
                                  <a:srgbClr val="0000FF"/>
                                </a:solidFill>
                                <a:latin typeface="Cambria Math" panose="02040503050406030204" pitchFamily="18" charset="0"/>
                              </a:rPr>
                              <m:t>𝟏</m:t>
                            </m:r>
                            <m:r>
                              <a:rPr lang="en-AU" sz="1100" b="1" i="1">
                                <a:solidFill>
                                  <a:srgbClr val="0000FF"/>
                                </a:solidFill>
                                <a:latin typeface="Cambria Math" panose="02040503050406030204" pitchFamily="18" charset="0"/>
                              </a:rPr>
                              <m:t>−</m:t>
                            </m:r>
                            <m:r>
                              <a:rPr lang="en-AU" sz="1100" b="1" i="1">
                                <a:solidFill>
                                  <a:srgbClr val="0000FF"/>
                                </a:solidFill>
                                <a:latin typeface="Cambria Math" panose="02040503050406030204" pitchFamily="18" charset="0"/>
                              </a:rPr>
                              <m:t>𝒑</m:t>
                            </m:r>
                            <m:r>
                              <a:rPr lang="en-AU" sz="1100" b="1" i="1">
                                <a:solidFill>
                                  <a:srgbClr val="0000FF"/>
                                </a:solidFill>
                                <a:latin typeface="Cambria Math" panose="02040503050406030204" pitchFamily="18" charset="0"/>
                              </a:rPr>
                              <m:t>)</m:t>
                            </m:r>
                          </m:num>
                          <m:den>
                            <m:r>
                              <a:rPr lang="en-AU" sz="1100" b="1" i="1">
                                <a:solidFill>
                                  <a:srgbClr val="0000FF"/>
                                </a:solidFill>
                                <a:latin typeface="Cambria Math" panose="02040503050406030204" pitchFamily="18" charset="0"/>
                              </a:rPr>
                              <m:t>𝒏</m:t>
                            </m:r>
                          </m:den>
                        </m:f>
                      </m:e>
                    </m:rad>
                  </m:oMath>
                </m:oMathPara>
              </a14:m>
              <a:endParaRPr lang="en-AU" sz="1100" b="1"/>
            </a:p>
          </xdr:txBody>
        </xdr:sp>
      </mc:Choice>
      <mc:Fallback>
        <xdr:sp macro="" textlink="">
          <xdr:nvSpPr>
            <xdr:cNvPr id="2" name="TextBox 1">
              <a:extLst>
                <a:ext uri="{FF2B5EF4-FFF2-40B4-BE49-F238E27FC236}">
                  <a16:creationId xmlns:a16="http://schemas.microsoft.com/office/drawing/2014/main" id="{499A98AB-09ED-6E42-A2C6-289A2EBB0B73}"/>
                </a:ext>
              </a:extLst>
            </xdr:cNvPr>
            <xdr:cNvSpPr txBox="1"/>
          </xdr:nvSpPr>
          <xdr:spPr>
            <a:xfrm>
              <a:off x="13700760" y="2881630"/>
              <a:ext cx="1205266" cy="2049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1" i="0">
                  <a:solidFill>
                    <a:srgbClr val="0000FF"/>
                  </a:solidFill>
                  <a:latin typeface="Cambria Math" panose="02040503050406030204" pitchFamily="18" charset="0"/>
                </a:rPr>
                <a:t>𝑺𝑬=√(〖𝒑(𝟏−𝒑)〗∕𝒏)</a:t>
              </a:r>
              <a:endParaRPr lang="en-AU" sz="1100" b="1"/>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853440</xdr:colOff>
      <xdr:row>6</xdr:row>
      <xdr:rowOff>19050</xdr:rowOff>
    </xdr:from>
    <xdr:ext cx="113236" cy="172227"/>
    <mc:AlternateContent xmlns:mc="http://schemas.openxmlformats.org/markup-compatibility/2006">
      <mc:Choice xmlns:a14="http://schemas.microsoft.com/office/drawing/2010/main" Requires="a14">
        <xdr:sp macro="" textlink="">
          <xdr:nvSpPr>
            <xdr:cNvPr id="5" name="TextBox 4">
              <a:extLst>
                <a:ext uri="{FF2B5EF4-FFF2-40B4-BE49-F238E27FC236}">
                  <a16:creationId xmlns:a16="http://schemas.microsoft.com/office/drawing/2014/main" id="{3A14C30B-3337-FE44-A49E-27E007DCDEBA}"/>
                </a:ext>
              </a:extLst>
            </xdr:cNvPr>
            <xdr:cNvSpPr txBox="1"/>
          </xdr:nvSpPr>
          <xdr:spPr>
            <a:xfrm>
              <a:off x="2910840" y="4273550"/>
              <a:ext cx="11323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AU" sz="1100" b="1" i="1">
                            <a:solidFill>
                              <a:srgbClr val="0000FF"/>
                            </a:solidFill>
                            <a:effectLst/>
                            <a:latin typeface="Cambria Math" panose="02040503050406030204" pitchFamily="18" charset="0"/>
                            <a:ea typeface="+mn-ea"/>
                            <a:cs typeface="+mn-cs"/>
                          </a:rPr>
                        </m:ctrlPr>
                      </m:accPr>
                      <m:e>
                        <m:r>
                          <a:rPr lang="en-AU" sz="1100" b="1" i="1">
                            <a:solidFill>
                              <a:srgbClr val="0000FF"/>
                            </a:solidFill>
                            <a:effectLst/>
                            <a:latin typeface="Cambria Math" panose="02040503050406030204" pitchFamily="18" charset="0"/>
                            <a:ea typeface="+mn-ea"/>
                            <a:cs typeface="+mn-cs"/>
                          </a:rPr>
                          <m:t>𝒙</m:t>
                        </m:r>
                      </m:e>
                    </m:acc>
                  </m:oMath>
                </m:oMathPara>
              </a14:m>
              <a:endParaRPr lang="en-AU" sz="1100" b="1">
                <a:solidFill>
                  <a:srgbClr val="0000FF"/>
                </a:solidFill>
              </a:endParaRPr>
            </a:p>
          </xdr:txBody>
        </xdr:sp>
      </mc:Choice>
      <mc:Fallback>
        <xdr:sp macro="" textlink="">
          <xdr:nvSpPr>
            <xdr:cNvPr id="5" name="TextBox 4">
              <a:extLst>
                <a:ext uri="{FF2B5EF4-FFF2-40B4-BE49-F238E27FC236}">
                  <a16:creationId xmlns:a16="http://schemas.microsoft.com/office/drawing/2014/main" id="{3A14C30B-3337-FE44-A49E-27E007DCDEBA}"/>
                </a:ext>
              </a:extLst>
            </xdr:cNvPr>
            <xdr:cNvSpPr txBox="1"/>
          </xdr:nvSpPr>
          <xdr:spPr>
            <a:xfrm>
              <a:off x="2910840" y="4273550"/>
              <a:ext cx="11323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1" i="0">
                  <a:solidFill>
                    <a:srgbClr val="0000FF"/>
                  </a:solidFill>
                  <a:effectLst/>
                  <a:latin typeface="Cambria Math" panose="02040503050406030204" pitchFamily="18" charset="0"/>
                  <a:ea typeface="+mn-ea"/>
                  <a:cs typeface="+mn-cs"/>
                </a:rPr>
                <a:t>𝒙 ̅</a:t>
              </a:r>
              <a:endParaRPr lang="en-AU" sz="1100" b="1">
                <a:solidFill>
                  <a:srgbClr val="0000FF"/>
                </a:solidFill>
              </a:endParaRPr>
            </a:p>
          </xdr:txBody>
        </xdr:sp>
      </mc:Fallback>
    </mc:AlternateContent>
    <xdr:clientData/>
  </xdr:oneCellAnchor>
  <xdr:oneCellAnchor>
    <xdr:from>
      <xdr:col>3</xdr:col>
      <xdr:colOff>1478280</xdr:colOff>
      <xdr:row>9</xdr:row>
      <xdr:rowOff>110490</xdr:rowOff>
    </xdr:from>
    <xdr:ext cx="65" cy="172227"/>
    <xdr:sp macro="" textlink="">
      <xdr:nvSpPr>
        <xdr:cNvPr id="6" name="TextBox 5">
          <a:extLst>
            <a:ext uri="{FF2B5EF4-FFF2-40B4-BE49-F238E27FC236}">
              <a16:creationId xmlns:a16="http://schemas.microsoft.com/office/drawing/2014/main" id="{DD0B4420-1ECC-2B4B-86BB-888FDD82DCA4}"/>
            </a:ext>
          </a:extLst>
        </xdr:cNvPr>
        <xdr:cNvSpPr txBox="1"/>
      </xdr:nvSpPr>
      <xdr:spPr>
        <a:xfrm>
          <a:off x="3535680" y="494919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AU" sz="1100"/>
        </a:p>
      </xdr:txBody>
    </xdr:sp>
    <xdr:clientData/>
  </xdr:oneCellAnchor>
  <xdr:oneCellAnchor>
    <xdr:from>
      <xdr:col>3</xdr:col>
      <xdr:colOff>1598294</xdr:colOff>
      <xdr:row>11</xdr:row>
      <xdr:rowOff>9525</xdr:rowOff>
    </xdr:from>
    <xdr:ext cx="725805" cy="178895"/>
    <mc:AlternateContent xmlns:mc="http://schemas.openxmlformats.org/markup-compatibility/2006">
      <mc:Choice xmlns:a14="http://schemas.microsoft.com/office/drawing/2010/main" Requires="a14">
        <xdr:sp macro="" textlink="">
          <xdr:nvSpPr>
            <xdr:cNvPr id="7" name="TextBox 6">
              <a:extLst>
                <a:ext uri="{FF2B5EF4-FFF2-40B4-BE49-F238E27FC236}">
                  <a16:creationId xmlns:a16="http://schemas.microsoft.com/office/drawing/2014/main" id="{20516294-C8DD-E544-8CA9-F7E7895CDC4D}"/>
                </a:ext>
              </a:extLst>
            </xdr:cNvPr>
            <xdr:cNvSpPr txBox="1"/>
          </xdr:nvSpPr>
          <xdr:spPr>
            <a:xfrm>
              <a:off x="3655694" y="5229225"/>
              <a:ext cx="725805" cy="1788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AU" sz="1100" b="1">
                  <a:solidFill>
                    <a:srgbClr val="0000FF"/>
                  </a:solidFill>
                </a:rPr>
                <a:t>SE </a:t>
              </a:r>
              <a14:m>
                <m:oMath xmlns:m="http://schemas.openxmlformats.org/officeDocument/2006/math">
                  <m:f>
                    <m:fPr>
                      <m:type m:val="lin"/>
                      <m:ctrlPr>
                        <a:rPr lang="en-AU" sz="1100" b="1" i="1">
                          <a:solidFill>
                            <a:srgbClr val="0000FF"/>
                          </a:solidFill>
                          <a:latin typeface="Cambria Math" panose="02040503050406030204" pitchFamily="18" charset="0"/>
                        </a:rPr>
                      </m:ctrlPr>
                    </m:fPr>
                    <m:num>
                      <m:r>
                        <a:rPr lang="en-AU" sz="1100" b="1" i="1">
                          <a:solidFill>
                            <a:srgbClr val="0000FF"/>
                          </a:solidFill>
                          <a:latin typeface="Cambria Math" panose="02040503050406030204" pitchFamily="18" charset="0"/>
                        </a:rPr>
                        <m:t>=</m:t>
                      </m:r>
                      <m:r>
                        <a:rPr lang="en-AU" sz="1100" b="1" i="1">
                          <a:solidFill>
                            <a:srgbClr val="0000FF"/>
                          </a:solidFill>
                          <a:latin typeface="Cambria Math" panose="02040503050406030204" pitchFamily="18" charset="0"/>
                          <a:ea typeface="Cambria Math" panose="02040503050406030204" pitchFamily="18" charset="0"/>
                        </a:rPr>
                        <m:t>𝒔</m:t>
                      </m:r>
                    </m:num>
                    <m:den>
                      <m:rad>
                        <m:radPr>
                          <m:degHide m:val="on"/>
                          <m:ctrlPr>
                            <a:rPr lang="en-AU" sz="1100" b="1" i="1">
                              <a:solidFill>
                                <a:srgbClr val="0000FF"/>
                              </a:solidFill>
                              <a:latin typeface="Cambria Math" panose="02040503050406030204" pitchFamily="18" charset="0"/>
                            </a:rPr>
                          </m:ctrlPr>
                        </m:radPr>
                        <m:deg/>
                        <m:e>
                          <m:r>
                            <a:rPr lang="en-AU" sz="1100" b="1" i="1">
                              <a:solidFill>
                                <a:srgbClr val="0000FF"/>
                              </a:solidFill>
                              <a:latin typeface="Cambria Math" panose="02040503050406030204" pitchFamily="18" charset="0"/>
                            </a:rPr>
                            <m:t>𝒏</m:t>
                          </m:r>
                        </m:e>
                      </m:rad>
                    </m:den>
                  </m:f>
                </m:oMath>
              </a14:m>
              <a:endParaRPr lang="en-AU" sz="1100" b="1">
                <a:solidFill>
                  <a:srgbClr val="0000FF"/>
                </a:solidFill>
              </a:endParaRPr>
            </a:p>
          </xdr:txBody>
        </xdr:sp>
      </mc:Choice>
      <mc:Fallback>
        <xdr:sp macro="" textlink="">
          <xdr:nvSpPr>
            <xdr:cNvPr id="7" name="TextBox 6">
              <a:extLst>
                <a:ext uri="{FF2B5EF4-FFF2-40B4-BE49-F238E27FC236}">
                  <a16:creationId xmlns:a16="http://schemas.microsoft.com/office/drawing/2014/main" id="{20516294-C8DD-E544-8CA9-F7E7895CDC4D}"/>
                </a:ext>
              </a:extLst>
            </xdr:cNvPr>
            <xdr:cNvSpPr txBox="1"/>
          </xdr:nvSpPr>
          <xdr:spPr>
            <a:xfrm>
              <a:off x="3655694" y="5229225"/>
              <a:ext cx="725805" cy="1788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AU" sz="1100" b="1">
                  <a:solidFill>
                    <a:srgbClr val="0000FF"/>
                  </a:solidFill>
                </a:rPr>
                <a:t>SE </a:t>
              </a:r>
              <a:r>
                <a:rPr lang="en-AU" sz="1100" b="1" i="0">
                  <a:solidFill>
                    <a:srgbClr val="0000FF"/>
                  </a:solidFill>
                  <a:latin typeface="Cambria Math" panose="02040503050406030204" pitchFamily="18" charset="0"/>
                </a:rPr>
                <a:t>〖=</a:t>
              </a:r>
              <a:r>
                <a:rPr lang="en-AU" sz="1100" b="1" i="0">
                  <a:solidFill>
                    <a:srgbClr val="0000FF"/>
                  </a:solidFill>
                  <a:latin typeface="Cambria Math" panose="02040503050406030204" pitchFamily="18" charset="0"/>
                  <a:ea typeface="Cambria Math" panose="02040503050406030204" pitchFamily="18" charset="0"/>
                </a:rPr>
                <a:t>𝒔〗∕√</a:t>
              </a:r>
              <a:r>
                <a:rPr lang="en-AU" sz="1100" b="1" i="0">
                  <a:solidFill>
                    <a:srgbClr val="0000FF"/>
                  </a:solidFill>
                  <a:latin typeface="Cambria Math" panose="02040503050406030204" pitchFamily="18" charset="0"/>
                </a:rPr>
                <a:t>𝒏</a:t>
              </a:r>
              <a:endParaRPr lang="en-AU" sz="1100" b="1">
                <a:solidFill>
                  <a:srgbClr val="0000FF"/>
                </a:solidFill>
              </a:endParaRPr>
            </a:p>
          </xdr:txBody>
        </xdr:sp>
      </mc:Fallback>
    </mc:AlternateContent>
    <xdr:clientData/>
  </xdr:oneCellAnchor>
  <xdr:twoCellAnchor>
    <xdr:from>
      <xdr:col>3</xdr:col>
      <xdr:colOff>0</xdr:colOff>
      <xdr:row>66</xdr:row>
      <xdr:rowOff>0</xdr:rowOff>
    </xdr:from>
    <xdr:to>
      <xdr:col>5</xdr:col>
      <xdr:colOff>723900</xdr:colOff>
      <xdr:row>89</xdr:row>
      <xdr:rowOff>0</xdr:rowOff>
    </xdr:to>
    <xdr:graphicFrame macro="">
      <xdr:nvGraphicFramePr>
        <xdr:cNvPr id="9" name="Chart 8">
          <a:extLst>
            <a:ext uri="{FF2B5EF4-FFF2-40B4-BE49-F238E27FC236}">
              <a16:creationId xmlns:a16="http://schemas.microsoft.com/office/drawing/2014/main" id="{861C3FFA-7993-34F4-0BF9-77C5B9C61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2</xdr:col>
      <xdr:colOff>1889760</xdr:colOff>
      <xdr:row>16</xdr:row>
      <xdr:rowOff>163830</xdr:rowOff>
    </xdr:from>
    <xdr:ext cx="1205266" cy="204993"/>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1856042C-FA31-2B4C-81B4-12ABF92D31CB}"/>
                </a:ext>
              </a:extLst>
            </xdr:cNvPr>
            <xdr:cNvSpPr txBox="1"/>
          </xdr:nvSpPr>
          <xdr:spPr>
            <a:xfrm>
              <a:off x="13700760" y="2881630"/>
              <a:ext cx="1205266" cy="2049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b="1" i="1">
                        <a:solidFill>
                          <a:srgbClr val="0000FF"/>
                        </a:solidFill>
                        <a:latin typeface="Cambria Math" panose="02040503050406030204" pitchFamily="18" charset="0"/>
                      </a:rPr>
                      <m:t>𝑺𝑬</m:t>
                    </m:r>
                    <m:r>
                      <a:rPr lang="en-AU" sz="1100" b="1" i="1">
                        <a:solidFill>
                          <a:srgbClr val="0000FF"/>
                        </a:solidFill>
                        <a:latin typeface="Cambria Math" panose="02040503050406030204" pitchFamily="18" charset="0"/>
                      </a:rPr>
                      <m:t>=</m:t>
                    </m:r>
                    <m:rad>
                      <m:radPr>
                        <m:degHide m:val="on"/>
                        <m:ctrlPr>
                          <a:rPr lang="en-AU" sz="1100" b="1" i="1">
                            <a:solidFill>
                              <a:srgbClr val="0000FF"/>
                            </a:solidFill>
                            <a:latin typeface="Cambria Math" panose="02040503050406030204" pitchFamily="18" charset="0"/>
                          </a:rPr>
                        </m:ctrlPr>
                      </m:radPr>
                      <m:deg/>
                      <m:e>
                        <m:f>
                          <m:fPr>
                            <m:type m:val="lin"/>
                            <m:ctrlPr>
                              <a:rPr lang="en-AU" sz="1100" b="1" i="1">
                                <a:solidFill>
                                  <a:srgbClr val="0000FF"/>
                                </a:solidFill>
                                <a:latin typeface="Cambria Math" panose="02040503050406030204" pitchFamily="18" charset="0"/>
                              </a:rPr>
                            </m:ctrlPr>
                          </m:fPr>
                          <m:num>
                            <m:r>
                              <a:rPr lang="en-AU" sz="1100" b="1" i="1">
                                <a:solidFill>
                                  <a:srgbClr val="0000FF"/>
                                </a:solidFill>
                                <a:latin typeface="Cambria Math" panose="02040503050406030204" pitchFamily="18" charset="0"/>
                              </a:rPr>
                              <m:t>𝒑</m:t>
                            </m:r>
                            <m:r>
                              <a:rPr lang="en-AU" sz="1100" b="1" i="1">
                                <a:solidFill>
                                  <a:srgbClr val="0000FF"/>
                                </a:solidFill>
                                <a:latin typeface="Cambria Math" panose="02040503050406030204" pitchFamily="18" charset="0"/>
                              </a:rPr>
                              <m:t>(</m:t>
                            </m:r>
                            <m:r>
                              <a:rPr lang="en-AU" sz="1100" b="1" i="1">
                                <a:solidFill>
                                  <a:srgbClr val="0000FF"/>
                                </a:solidFill>
                                <a:latin typeface="Cambria Math" panose="02040503050406030204" pitchFamily="18" charset="0"/>
                              </a:rPr>
                              <m:t>𝟏</m:t>
                            </m:r>
                            <m:r>
                              <a:rPr lang="en-AU" sz="1100" b="1" i="1">
                                <a:solidFill>
                                  <a:srgbClr val="0000FF"/>
                                </a:solidFill>
                                <a:latin typeface="Cambria Math" panose="02040503050406030204" pitchFamily="18" charset="0"/>
                              </a:rPr>
                              <m:t>−</m:t>
                            </m:r>
                            <m:r>
                              <a:rPr lang="en-AU" sz="1100" b="1" i="1">
                                <a:solidFill>
                                  <a:srgbClr val="0000FF"/>
                                </a:solidFill>
                                <a:latin typeface="Cambria Math" panose="02040503050406030204" pitchFamily="18" charset="0"/>
                              </a:rPr>
                              <m:t>𝒑</m:t>
                            </m:r>
                            <m:r>
                              <a:rPr lang="en-AU" sz="1100" b="1" i="1">
                                <a:solidFill>
                                  <a:srgbClr val="0000FF"/>
                                </a:solidFill>
                                <a:latin typeface="Cambria Math" panose="02040503050406030204" pitchFamily="18" charset="0"/>
                              </a:rPr>
                              <m:t>)</m:t>
                            </m:r>
                          </m:num>
                          <m:den>
                            <m:r>
                              <a:rPr lang="en-AU" sz="1100" b="1" i="1">
                                <a:solidFill>
                                  <a:srgbClr val="0000FF"/>
                                </a:solidFill>
                                <a:latin typeface="Cambria Math" panose="02040503050406030204" pitchFamily="18" charset="0"/>
                              </a:rPr>
                              <m:t>𝒏</m:t>
                            </m:r>
                          </m:den>
                        </m:f>
                      </m:e>
                    </m:rad>
                  </m:oMath>
                </m:oMathPara>
              </a14:m>
              <a:endParaRPr lang="en-AU" sz="1100" b="1"/>
            </a:p>
          </xdr:txBody>
        </xdr:sp>
      </mc:Choice>
      <mc:Fallback>
        <xdr:sp macro="" textlink="">
          <xdr:nvSpPr>
            <xdr:cNvPr id="2" name="TextBox 1">
              <a:extLst>
                <a:ext uri="{FF2B5EF4-FFF2-40B4-BE49-F238E27FC236}">
                  <a16:creationId xmlns:a16="http://schemas.microsoft.com/office/drawing/2014/main" id="{1856042C-FA31-2B4C-81B4-12ABF92D31CB}"/>
                </a:ext>
              </a:extLst>
            </xdr:cNvPr>
            <xdr:cNvSpPr txBox="1"/>
          </xdr:nvSpPr>
          <xdr:spPr>
            <a:xfrm>
              <a:off x="13700760" y="2881630"/>
              <a:ext cx="1205266" cy="2049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1" i="0">
                  <a:solidFill>
                    <a:srgbClr val="0000FF"/>
                  </a:solidFill>
                  <a:latin typeface="Cambria Math" panose="02040503050406030204" pitchFamily="18" charset="0"/>
                </a:rPr>
                <a:t>𝑺𝑬=√(〖𝒑(𝟏−𝒑)〗∕𝒏)</a:t>
              </a:r>
              <a:endParaRPr lang="en-AU" sz="1100" b="1"/>
            </a:p>
          </xdr:txBody>
        </xdr:sp>
      </mc:Fallback>
    </mc:AlternateContent>
    <xdr:clientData/>
  </xdr:oneCellAnchor>
  <xdr:twoCellAnchor>
    <xdr:from>
      <xdr:col>3</xdr:col>
      <xdr:colOff>0</xdr:colOff>
      <xdr:row>67</xdr:row>
      <xdr:rowOff>101600</xdr:rowOff>
    </xdr:from>
    <xdr:to>
      <xdr:col>6</xdr:col>
      <xdr:colOff>0</xdr:colOff>
      <xdr:row>92</xdr:row>
      <xdr:rowOff>101600</xdr:rowOff>
    </xdr:to>
    <xdr:graphicFrame macro="">
      <xdr:nvGraphicFramePr>
        <xdr:cNvPr id="3" name="Chart 2">
          <a:extLst>
            <a:ext uri="{FF2B5EF4-FFF2-40B4-BE49-F238E27FC236}">
              <a16:creationId xmlns:a16="http://schemas.microsoft.com/office/drawing/2014/main" id="{D4CD7351-9487-48D4-76D6-3AD934C206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0.09762</cdr:x>
      <cdr:y>0.80267</cdr:y>
    </cdr:from>
    <cdr:to>
      <cdr:x>0.35952</cdr:x>
      <cdr:y>0.80267</cdr:y>
    </cdr:to>
    <cdr:cxnSp macro="">
      <cdr:nvCxnSpPr>
        <cdr:cNvPr id="3" name="Straight Connector 2">
          <a:extLst xmlns:a="http://schemas.openxmlformats.org/drawingml/2006/main">
            <a:ext uri="{FF2B5EF4-FFF2-40B4-BE49-F238E27FC236}">
              <a16:creationId xmlns:a16="http://schemas.microsoft.com/office/drawing/2014/main" id="{C816FE26-A314-B6DD-678D-99190767B87F}"/>
            </a:ext>
          </a:extLst>
        </cdr:cNvPr>
        <cdr:cNvCxnSpPr/>
      </cdr:nvCxnSpPr>
      <cdr:spPr>
        <a:xfrm xmlns:a="http://schemas.openxmlformats.org/drawingml/2006/main">
          <a:off x="1041400" y="3822700"/>
          <a:ext cx="2794000" cy="0"/>
        </a:xfrm>
        <a:prstGeom xmlns:a="http://schemas.openxmlformats.org/drawingml/2006/main" prst="line">
          <a:avLst/>
        </a:prstGeom>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dr:relSizeAnchor xmlns:cdr="http://schemas.openxmlformats.org/drawingml/2006/chartDrawing">
    <cdr:from>
      <cdr:x>0.29048</cdr:x>
      <cdr:y>0.72</cdr:y>
    </cdr:from>
    <cdr:to>
      <cdr:x>0.29476</cdr:x>
      <cdr:y>0.76</cdr:y>
    </cdr:to>
    <cdr:sp macro="" textlink="">
      <cdr:nvSpPr>
        <cdr:cNvPr id="6" name="TextBox 5">
          <a:extLst xmlns:a="http://schemas.openxmlformats.org/drawingml/2006/main">
            <a:ext uri="{FF2B5EF4-FFF2-40B4-BE49-F238E27FC236}">
              <a16:creationId xmlns:a16="http://schemas.microsoft.com/office/drawing/2014/main" id="{4AF9D14D-C42B-6BBD-0CD3-51FA07D997D1}"/>
            </a:ext>
          </a:extLst>
        </cdr:cNvPr>
        <cdr:cNvSpPr txBox="1"/>
      </cdr:nvSpPr>
      <cdr:spPr>
        <a:xfrm xmlns:a="http://schemas.openxmlformats.org/drawingml/2006/main">
          <a:off x="3098800" y="3429000"/>
          <a:ext cx="45719"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0.29048</cdr:x>
      <cdr:y>0.76</cdr:y>
    </cdr:from>
    <cdr:to>
      <cdr:x>0.29476</cdr:x>
      <cdr:y>0.8</cdr:y>
    </cdr:to>
    <cdr:sp macro="" textlink="">
      <cdr:nvSpPr>
        <cdr:cNvPr id="7" name="TextBox 6">
          <a:extLst xmlns:a="http://schemas.openxmlformats.org/drawingml/2006/main">
            <a:ext uri="{FF2B5EF4-FFF2-40B4-BE49-F238E27FC236}">
              <a16:creationId xmlns:a16="http://schemas.microsoft.com/office/drawing/2014/main" id="{20727F56-9F18-15B4-B2F7-BF60FFB5DA7E}"/>
            </a:ext>
          </a:extLst>
        </cdr:cNvPr>
        <cdr:cNvSpPr txBox="1"/>
      </cdr:nvSpPr>
      <cdr:spPr>
        <a:xfrm xmlns:a="http://schemas.openxmlformats.org/drawingml/2006/main">
          <a:off x="3098800" y="3619500"/>
          <a:ext cx="45719"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0.06869</cdr:x>
      <cdr:y>0.69867</cdr:y>
    </cdr:from>
    <cdr:to>
      <cdr:x>0.35917</cdr:x>
      <cdr:y>0.81867</cdr:y>
    </cdr:to>
    <cdr:sp macro="" textlink="">
      <cdr:nvSpPr>
        <cdr:cNvPr id="10" name="TextBox 9">
          <a:extLst xmlns:a="http://schemas.openxmlformats.org/drawingml/2006/main">
            <a:ext uri="{FF2B5EF4-FFF2-40B4-BE49-F238E27FC236}">
              <a16:creationId xmlns:a16="http://schemas.microsoft.com/office/drawing/2014/main" id="{65284A1A-A87D-C89C-4CC6-055599F4EA40}"/>
            </a:ext>
          </a:extLst>
        </cdr:cNvPr>
        <cdr:cNvSpPr txBox="1"/>
      </cdr:nvSpPr>
      <cdr:spPr>
        <a:xfrm xmlns:a="http://schemas.openxmlformats.org/drawingml/2006/main">
          <a:off x="732826" y="3327400"/>
          <a:ext cx="3098800"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100" kern="1200"/>
            <a:t>                               </a:t>
          </a:r>
          <a:r>
            <a:rPr lang="en-GB" sz="1100" kern="1200">
              <a:solidFill>
                <a:schemeClr val="bg1"/>
              </a:solidFill>
            </a:rPr>
            <a:t>39 OR 30% CUSTOMERS USING DISK FREQUENTLY</a:t>
          </a:r>
        </a:p>
        <a:p xmlns:a="http://schemas.openxmlformats.org/drawingml/2006/main">
          <a:pPr algn="ctr"/>
          <a:endParaRPr lang="en-GB" sz="1100" kern="1200">
            <a:solidFill>
              <a:schemeClr val="bg1"/>
            </a:solidFill>
          </a:endParaRPr>
        </a:p>
      </cdr:txBody>
    </cdr:sp>
  </cdr:relSizeAnchor>
</c:userShapes>
</file>

<file path=xl/drawings/drawing11.xml><?xml version="1.0" encoding="utf-8"?>
<xdr:wsDr xmlns:xdr="http://schemas.openxmlformats.org/drawingml/2006/spreadsheetDrawing" xmlns:a="http://schemas.openxmlformats.org/drawingml/2006/main">
  <xdr:oneCellAnchor>
    <xdr:from>
      <xdr:col>5</xdr:col>
      <xdr:colOff>853440</xdr:colOff>
      <xdr:row>9</xdr:row>
      <xdr:rowOff>19050</xdr:rowOff>
    </xdr:from>
    <xdr:ext cx="113236" cy="17222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C5A7AE2-14E8-8D44-B616-C897118FBEF0}"/>
                </a:ext>
              </a:extLst>
            </xdr:cNvPr>
            <xdr:cNvSpPr txBox="1"/>
          </xdr:nvSpPr>
          <xdr:spPr>
            <a:xfrm>
              <a:off x="7190740" y="1670050"/>
              <a:ext cx="11323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AU" sz="1100" b="1" i="1">
                            <a:solidFill>
                              <a:srgbClr val="0000FF"/>
                            </a:solidFill>
                            <a:effectLst/>
                            <a:latin typeface="Cambria Math" panose="02040503050406030204" pitchFamily="18" charset="0"/>
                            <a:ea typeface="+mn-ea"/>
                            <a:cs typeface="+mn-cs"/>
                          </a:rPr>
                        </m:ctrlPr>
                      </m:accPr>
                      <m:e>
                        <m:r>
                          <a:rPr lang="en-AU" sz="1100" b="1" i="1">
                            <a:solidFill>
                              <a:srgbClr val="0000FF"/>
                            </a:solidFill>
                            <a:effectLst/>
                            <a:latin typeface="Cambria Math" panose="02040503050406030204" pitchFamily="18" charset="0"/>
                            <a:ea typeface="+mn-ea"/>
                            <a:cs typeface="+mn-cs"/>
                          </a:rPr>
                          <m:t>𝒙</m:t>
                        </m:r>
                      </m:e>
                    </m:acc>
                  </m:oMath>
                </m:oMathPara>
              </a14:m>
              <a:endParaRPr lang="en-AU" sz="1100" b="1">
                <a:solidFill>
                  <a:srgbClr val="0000FF"/>
                </a:solidFill>
              </a:endParaRPr>
            </a:p>
          </xdr:txBody>
        </xdr:sp>
      </mc:Choice>
      <mc:Fallback xmlns="">
        <xdr:sp macro="" textlink="">
          <xdr:nvSpPr>
            <xdr:cNvPr id="2" name="TextBox 1">
              <a:extLst>
                <a:ext uri="{FF2B5EF4-FFF2-40B4-BE49-F238E27FC236}">
                  <a16:creationId xmlns:a16="http://schemas.microsoft.com/office/drawing/2014/main" id="{CC5A7AE2-14E8-8D44-B616-C897118FBEF0}"/>
                </a:ext>
              </a:extLst>
            </xdr:cNvPr>
            <xdr:cNvSpPr txBox="1"/>
          </xdr:nvSpPr>
          <xdr:spPr>
            <a:xfrm>
              <a:off x="7190740" y="1670050"/>
              <a:ext cx="11323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1" i="0">
                  <a:solidFill>
                    <a:srgbClr val="0000FF"/>
                  </a:solidFill>
                  <a:effectLst/>
                  <a:latin typeface="Cambria Math" panose="02040503050406030204" pitchFamily="18" charset="0"/>
                  <a:ea typeface="+mn-ea"/>
                  <a:cs typeface="+mn-cs"/>
                </a:rPr>
                <a:t>𝒙 ̅</a:t>
              </a:r>
              <a:endParaRPr lang="en-AU" sz="1100" b="1">
                <a:solidFill>
                  <a:srgbClr val="0000FF"/>
                </a:solidFill>
              </a:endParaRPr>
            </a:p>
          </xdr:txBody>
        </xdr:sp>
      </mc:Fallback>
    </mc:AlternateContent>
    <xdr:clientData/>
  </xdr:oneCellAnchor>
  <xdr:oneCellAnchor>
    <xdr:from>
      <xdr:col>1</xdr:col>
      <xdr:colOff>853440</xdr:colOff>
      <xdr:row>9</xdr:row>
      <xdr:rowOff>15240</xdr:rowOff>
    </xdr:from>
    <xdr:ext cx="113236" cy="17222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8644CD1-F103-9540-A147-F5EF195F6AFF}"/>
                </a:ext>
              </a:extLst>
            </xdr:cNvPr>
            <xdr:cNvSpPr txBox="1"/>
          </xdr:nvSpPr>
          <xdr:spPr>
            <a:xfrm>
              <a:off x="1551940" y="1666240"/>
              <a:ext cx="11323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AU" sz="1100" i="1">
                            <a:solidFill>
                              <a:srgbClr val="0000FF"/>
                            </a:solidFill>
                            <a:effectLst/>
                            <a:latin typeface="Cambria Math" panose="02040503050406030204" pitchFamily="18" charset="0"/>
                            <a:ea typeface="+mn-ea"/>
                            <a:cs typeface="+mn-cs"/>
                          </a:rPr>
                        </m:ctrlPr>
                      </m:accPr>
                      <m:e>
                        <m:r>
                          <a:rPr lang="en-AU" sz="1100" b="1" i="1">
                            <a:solidFill>
                              <a:srgbClr val="0000FF"/>
                            </a:solidFill>
                            <a:effectLst/>
                            <a:latin typeface="Cambria Math" panose="02040503050406030204" pitchFamily="18" charset="0"/>
                            <a:ea typeface="+mn-ea"/>
                            <a:cs typeface="+mn-cs"/>
                          </a:rPr>
                          <m:t>𝒙</m:t>
                        </m:r>
                      </m:e>
                    </m:acc>
                  </m:oMath>
                </m:oMathPara>
              </a14:m>
              <a:endParaRPr lang="en-AU" sz="1100">
                <a:solidFill>
                  <a:srgbClr val="0000FF"/>
                </a:solidFill>
              </a:endParaRPr>
            </a:p>
          </xdr:txBody>
        </xdr:sp>
      </mc:Choice>
      <mc:Fallback xmlns="">
        <xdr:sp macro="" textlink="">
          <xdr:nvSpPr>
            <xdr:cNvPr id="3" name="TextBox 2">
              <a:extLst>
                <a:ext uri="{FF2B5EF4-FFF2-40B4-BE49-F238E27FC236}">
                  <a16:creationId xmlns:a16="http://schemas.microsoft.com/office/drawing/2014/main" id="{A8644CD1-F103-9540-A147-F5EF195F6AFF}"/>
                </a:ext>
              </a:extLst>
            </xdr:cNvPr>
            <xdr:cNvSpPr txBox="1"/>
          </xdr:nvSpPr>
          <xdr:spPr>
            <a:xfrm>
              <a:off x="1551940" y="1666240"/>
              <a:ext cx="11323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1" i="0">
                  <a:solidFill>
                    <a:srgbClr val="0000FF"/>
                  </a:solidFill>
                  <a:effectLst/>
                  <a:latin typeface="Cambria Math" panose="02040503050406030204" pitchFamily="18" charset="0"/>
                  <a:ea typeface="+mn-ea"/>
                  <a:cs typeface="+mn-cs"/>
                </a:rPr>
                <a:t>𝒙 ̅</a:t>
              </a:r>
              <a:endParaRPr lang="en-AU" sz="1100">
                <a:solidFill>
                  <a:srgbClr val="0000FF"/>
                </a:solidFill>
              </a:endParaRPr>
            </a:p>
          </xdr:txBody>
        </xdr:sp>
      </mc:Fallback>
    </mc:AlternateContent>
    <xdr:clientData/>
  </xdr:oneCellAnchor>
  <xdr:oneCellAnchor>
    <xdr:from>
      <xdr:col>5</xdr:col>
      <xdr:colOff>1478280</xdr:colOff>
      <xdr:row>12</xdr:row>
      <xdr:rowOff>110490</xdr:rowOff>
    </xdr:from>
    <xdr:ext cx="65" cy="172227"/>
    <xdr:sp macro="" textlink="">
      <xdr:nvSpPr>
        <xdr:cNvPr id="4" name="TextBox 3">
          <a:extLst>
            <a:ext uri="{FF2B5EF4-FFF2-40B4-BE49-F238E27FC236}">
              <a16:creationId xmlns:a16="http://schemas.microsoft.com/office/drawing/2014/main" id="{6CD66688-9619-FE42-9CA9-D713DE7696AC}"/>
            </a:ext>
          </a:extLst>
        </xdr:cNvPr>
        <xdr:cNvSpPr txBox="1"/>
      </xdr:nvSpPr>
      <xdr:spPr>
        <a:xfrm>
          <a:off x="7815580" y="228219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AU" sz="1100"/>
        </a:p>
      </xdr:txBody>
    </xdr:sp>
    <xdr:clientData/>
  </xdr:oneCellAnchor>
  <xdr:oneCellAnchor>
    <xdr:from>
      <xdr:col>5</xdr:col>
      <xdr:colOff>1598294</xdr:colOff>
      <xdr:row>14</xdr:row>
      <xdr:rowOff>9525</xdr:rowOff>
    </xdr:from>
    <xdr:ext cx="725805" cy="178895"/>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E87FF6E-30E9-EC46-9E42-30BA4EEF753A}"/>
                </a:ext>
              </a:extLst>
            </xdr:cNvPr>
            <xdr:cNvSpPr txBox="1"/>
          </xdr:nvSpPr>
          <xdr:spPr>
            <a:xfrm>
              <a:off x="7935594" y="2536825"/>
              <a:ext cx="725805" cy="1788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AU" sz="1100" b="1">
                  <a:solidFill>
                    <a:srgbClr val="0000FF"/>
                  </a:solidFill>
                </a:rPr>
                <a:t>SE </a:t>
              </a:r>
              <a14:m>
                <m:oMath xmlns:m="http://schemas.openxmlformats.org/officeDocument/2006/math">
                  <m:f>
                    <m:fPr>
                      <m:type m:val="lin"/>
                      <m:ctrlPr>
                        <a:rPr lang="en-AU" sz="1100" b="1" i="1">
                          <a:solidFill>
                            <a:srgbClr val="0000FF"/>
                          </a:solidFill>
                          <a:latin typeface="Cambria Math" panose="02040503050406030204" pitchFamily="18" charset="0"/>
                        </a:rPr>
                      </m:ctrlPr>
                    </m:fPr>
                    <m:num>
                      <m:r>
                        <a:rPr lang="en-AU" sz="1100" b="1" i="1">
                          <a:solidFill>
                            <a:srgbClr val="0000FF"/>
                          </a:solidFill>
                          <a:latin typeface="Cambria Math" panose="02040503050406030204" pitchFamily="18" charset="0"/>
                        </a:rPr>
                        <m:t>=</m:t>
                      </m:r>
                      <m:r>
                        <a:rPr lang="en-AU" sz="1100" b="1" i="1">
                          <a:solidFill>
                            <a:srgbClr val="0000FF"/>
                          </a:solidFill>
                          <a:latin typeface="Cambria Math" panose="02040503050406030204" pitchFamily="18" charset="0"/>
                          <a:ea typeface="Cambria Math" panose="02040503050406030204" pitchFamily="18" charset="0"/>
                        </a:rPr>
                        <m:t>𝒔</m:t>
                      </m:r>
                    </m:num>
                    <m:den>
                      <m:rad>
                        <m:radPr>
                          <m:degHide m:val="on"/>
                          <m:ctrlPr>
                            <a:rPr lang="en-AU" sz="1100" b="1" i="1">
                              <a:solidFill>
                                <a:srgbClr val="0000FF"/>
                              </a:solidFill>
                              <a:latin typeface="Cambria Math" panose="02040503050406030204" pitchFamily="18" charset="0"/>
                            </a:rPr>
                          </m:ctrlPr>
                        </m:radPr>
                        <m:deg/>
                        <m:e>
                          <m:r>
                            <a:rPr lang="en-AU" sz="1100" b="1" i="1">
                              <a:solidFill>
                                <a:srgbClr val="0000FF"/>
                              </a:solidFill>
                              <a:latin typeface="Cambria Math" panose="02040503050406030204" pitchFamily="18" charset="0"/>
                            </a:rPr>
                            <m:t>𝒏</m:t>
                          </m:r>
                        </m:e>
                      </m:rad>
                    </m:den>
                  </m:f>
                </m:oMath>
              </a14:m>
              <a:endParaRPr lang="en-AU" sz="1100" b="1">
                <a:solidFill>
                  <a:srgbClr val="0000FF"/>
                </a:solidFill>
              </a:endParaRPr>
            </a:p>
          </xdr:txBody>
        </xdr:sp>
      </mc:Choice>
      <mc:Fallback xmlns="">
        <xdr:sp macro="" textlink="">
          <xdr:nvSpPr>
            <xdr:cNvPr id="5" name="TextBox 4">
              <a:extLst>
                <a:ext uri="{FF2B5EF4-FFF2-40B4-BE49-F238E27FC236}">
                  <a16:creationId xmlns:a16="http://schemas.microsoft.com/office/drawing/2014/main" id="{BE87FF6E-30E9-EC46-9E42-30BA4EEF753A}"/>
                </a:ext>
              </a:extLst>
            </xdr:cNvPr>
            <xdr:cNvSpPr txBox="1"/>
          </xdr:nvSpPr>
          <xdr:spPr>
            <a:xfrm>
              <a:off x="7935594" y="2536825"/>
              <a:ext cx="725805" cy="1788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AU" sz="1100" b="1">
                  <a:solidFill>
                    <a:srgbClr val="0000FF"/>
                  </a:solidFill>
                </a:rPr>
                <a:t>SE </a:t>
              </a:r>
              <a:r>
                <a:rPr lang="en-AU" sz="1100" b="1" i="0">
                  <a:solidFill>
                    <a:srgbClr val="0000FF"/>
                  </a:solidFill>
                  <a:latin typeface="Cambria Math" panose="02040503050406030204" pitchFamily="18" charset="0"/>
                </a:rPr>
                <a:t>〖=</a:t>
              </a:r>
              <a:r>
                <a:rPr lang="en-AU" sz="1100" b="1" i="0">
                  <a:solidFill>
                    <a:srgbClr val="0000FF"/>
                  </a:solidFill>
                  <a:latin typeface="Cambria Math" panose="02040503050406030204" pitchFamily="18" charset="0"/>
                  <a:ea typeface="Cambria Math" panose="02040503050406030204" pitchFamily="18" charset="0"/>
                </a:rPr>
                <a:t>𝒔〗∕√</a:t>
              </a:r>
              <a:r>
                <a:rPr lang="en-AU" sz="1100" b="1" i="0">
                  <a:solidFill>
                    <a:srgbClr val="0000FF"/>
                  </a:solidFill>
                  <a:latin typeface="Cambria Math" panose="02040503050406030204" pitchFamily="18" charset="0"/>
                </a:rPr>
                <a:t>𝒏</a:t>
              </a:r>
              <a:endParaRPr lang="en-AU" sz="1100" b="1">
                <a:solidFill>
                  <a:srgbClr val="0000FF"/>
                </a:solidFill>
              </a:endParaRPr>
            </a:p>
          </xdr:txBody>
        </xdr:sp>
      </mc:Fallback>
    </mc:AlternateContent>
    <xdr:clientData/>
  </xdr:oneCellAnchor>
  <xdr:oneCellAnchor>
    <xdr:from>
      <xdr:col>1</xdr:col>
      <xdr:colOff>1602105</xdr:colOff>
      <xdr:row>14</xdr:row>
      <xdr:rowOff>0</xdr:rowOff>
    </xdr:from>
    <xdr:ext cx="662874" cy="178895"/>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FFAA54DE-103B-0A49-9057-A33D8026E069}"/>
                </a:ext>
              </a:extLst>
            </xdr:cNvPr>
            <xdr:cNvSpPr txBox="1"/>
          </xdr:nvSpPr>
          <xdr:spPr>
            <a:xfrm>
              <a:off x="2300605" y="2527300"/>
              <a:ext cx="662874" cy="1788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0000FF"/>
                  </a:solidFill>
                </a:rPr>
                <a:t>SE </a:t>
              </a:r>
              <a14:m>
                <m:oMath xmlns:m="http://schemas.openxmlformats.org/officeDocument/2006/math">
                  <m:f>
                    <m:fPr>
                      <m:type m:val="lin"/>
                      <m:ctrlPr>
                        <a:rPr lang="en-AU" sz="1100" b="1" i="1">
                          <a:solidFill>
                            <a:srgbClr val="0000FF"/>
                          </a:solidFill>
                          <a:latin typeface="Cambria Math" panose="02040503050406030204" pitchFamily="18" charset="0"/>
                        </a:rPr>
                      </m:ctrlPr>
                    </m:fPr>
                    <m:num>
                      <m:r>
                        <a:rPr lang="en-AU" sz="1100" b="1" i="1">
                          <a:solidFill>
                            <a:srgbClr val="0000FF"/>
                          </a:solidFill>
                          <a:latin typeface="Cambria Math" panose="02040503050406030204" pitchFamily="18" charset="0"/>
                        </a:rPr>
                        <m:t>=</m:t>
                      </m:r>
                      <m:r>
                        <a:rPr lang="en-AU" sz="1100" b="1" i="1">
                          <a:solidFill>
                            <a:srgbClr val="0000FF"/>
                          </a:solidFill>
                          <a:latin typeface="Cambria Math" panose="02040503050406030204" pitchFamily="18" charset="0"/>
                          <a:ea typeface="Cambria Math" panose="02040503050406030204" pitchFamily="18" charset="0"/>
                        </a:rPr>
                        <m:t>𝝈</m:t>
                      </m:r>
                    </m:num>
                    <m:den>
                      <m:rad>
                        <m:radPr>
                          <m:degHide m:val="on"/>
                          <m:ctrlPr>
                            <a:rPr lang="en-AU" sz="1100" b="1" i="1">
                              <a:solidFill>
                                <a:srgbClr val="0000FF"/>
                              </a:solidFill>
                              <a:latin typeface="Cambria Math" panose="02040503050406030204" pitchFamily="18" charset="0"/>
                            </a:rPr>
                          </m:ctrlPr>
                        </m:radPr>
                        <m:deg/>
                        <m:e>
                          <m:r>
                            <a:rPr lang="en-AU" sz="1100" b="1" i="1">
                              <a:solidFill>
                                <a:srgbClr val="0000FF"/>
                              </a:solidFill>
                              <a:latin typeface="Cambria Math" panose="02040503050406030204" pitchFamily="18" charset="0"/>
                            </a:rPr>
                            <m:t>𝒏</m:t>
                          </m:r>
                        </m:e>
                      </m:rad>
                    </m:den>
                  </m:f>
                </m:oMath>
              </a14:m>
              <a:endParaRPr lang="en-AU" sz="1100" b="1">
                <a:solidFill>
                  <a:srgbClr val="0000FF"/>
                </a:solidFill>
              </a:endParaRPr>
            </a:p>
          </xdr:txBody>
        </xdr:sp>
      </mc:Choice>
      <mc:Fallback xmlns="">
        <xdr:sp macro="" textlink="">
          <xdr:nvSpPr>
            <xdr:cNvPr id="6" name="TextBox 5">
              <a:extLst>
                <a:ext uri="{FF2B5EF4-FFF2-40B4-BE49-F238E27FC236}">
                  <a16:creationId xmlns:a16="http://schemas.microsoft.com/office/drawing/2014/main" id="{FFAA54DE-103B-0A49-9057-A33D8026E069}"/>
                </a:ext>
              </a:extLst>
            </xdr:cNvPr>
            <xdr:cNvSpPr txBox="1"/>
          </xdr:nvSpPr>
          <xdr:spPr>
            <a:xfrm>
              <a:off x="2300605" y="2527300"/>
              <a:ext cx="662874" cy="1788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0000FF"/>
                  </a:solidFill>
                </a:rPr>
                <a:t>SE </a:t>
              </a:r>
              <a:r>
                <a:rPr lang="en-AU" sz="1100" b="1" i="0">
                  <a:solidFill>
                    <a:srgbClr val="0000FF"/>
                  </a:solidFill>
                  <a:latin typeface="Cambria Math" panose="02040503050406030204" pitchFamily="18" charset="0"/>
                </a:rPr>
                <a:t>〖=</a:t>
              </a:r>
              <a:r>
                <a:rPr lang="en-AU" sz="1100" b="1" i="0">
                  <a:solidFill>
                    <a:srgbClr val="0000FF"/>
                  </a:solidFill>
                  <a:latin typeface="Cambria Math" panose="02040503050406030204" pitchFamily="18" charset="0"/>
                  <a:ea typeface="Cambria Math" panose="02040503050406030204" pitchFamily="18" charset="0"/>
                </a:rPr>
                <a:t>𝝈〗∕√</a:t>
              </a:r>
              <a:r>
                <a:rPr lang="en-AU" sz="1100" b="1" i="0">
                  <a:solidFill>
                    <a:srgbClr val="0000FF"/>
                  </a:solidFill>
                  <a:latin typeface="Cambria Math" panose="02040503050406030204" pitchFamily="18" charset="0"/>
                </a:rPr>
                <a:t>𝒏</a:t>
              </a:r>
              <a:endParaRPr lang="en-AU" sz="1100" b="1">
                <a:solidFill>
                  <a:srgbClr val="0000FF"/>
                </a:solidFill>
              </a:endParaRPr>
            </a:p>
          </xdr:txBody>
        </xdr:sp>
      </mc:Fallback>
    </mc:AlternateContent>
    <xdr:clientData/>
  </xdr:oneCellAnchor>
  <xdr:oneCellAnchor>
    <xdr:from>
      <xdr:col>9</xdr:col>
      <xdr:colOff>1889760</xdr:colOff>
      <xdr:row>15</xdr:row>
      <xdr:rowOff>163830</xdr:rowOff>
    </xdr:from>
    <xdr:ext cx="1205266" cy="204993"/>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D7BDAE9-B27D-9748-9043-488CD1E69E99}"/>
                </a:ext>
              </a:extLst>
            </xdr:cNvPr>
            <xdr:cNvSpPr txBox="1"/>
          </xdr:nvSpPr>
          <xdr:spPr>
            <a:xfrm>
              <a:off x="13700760" y="2881630"/>
              <a:ext cx="1205266" cy="2049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b="1" i="1">
                        <a:solidFill>
                          <a:srgbClr val="0000FF"/>
                        </a:solidFill>
                        <a:latin typeface="Cambria Math" panose="02040503050406030204" pitchFamily="18" charset="0"/>
                      </a:rPr>
                      <m:t>𝑺𝑬</m:t>
                    </m:r>
                    <m:r>
                      <a:rPr lang="en-AU" sz="1100" b="1" i="1">
                        <a:solidFill>
                          <a:srgbClr val="0000FF"/>
                        </a:solidFill>
                        <a:latin typeface="Cambria Math" panose="02040503050406030204" pitchFamily="18" charset="0"/>
                      </a:rPr>
                      <m:t>=</m:t>
                    </m:r>
                    <m:rad>
                      <m:radPr>
                        <m:degHide m:val="on"/>
                        <m:ctrlPr>
                          <a:rPr lang="en-AU" sz="1100" b="1" i="1">
                            <a:solidFill>
                              <a:srgbClr val="0000FF"/>
                            </a:solidFill>
                            <a:latin typeface="Cambria Math" panose="02040503050406030204" pitchFamily="18" charset="0"/>
                          </a:rPr>
                        </m:ctrlPr>
                      </m:radPr>
                      <m:deg/>
                      <m:e>
                        <m:f>
                          <m:fPr>
                            <m:type m:val="lin"/>
                            <m:ctrlPr>
                              <a:rPr lang="en-AU" sz="1100" b="1" i="1">
                                <a:solidFill>
                                  <a:srgbClr val="0000FF"/>
                                </a:solidFill>
                                <a:latin typeface="Cambria Math" panose="02040503050406030204" pitchFamily="18" charset="0"/>
                              </a:rPr>
                            </m:ctrlPr>
                          </m:fPr>
                          <m:num>
                            <m:r>
                              <a:rPr lang="en-AU" sz="1100" b="1" i="1">
                                <a:solidFill>
                                  <a:srgbClr val="0000FF"/>
                                </a:solidFill>
                                <a:latin typeface="Cambria Math" panose="02040503050406030204" pitchFamily="18" charset="0"/>
                              </a:rPr>
                              <m:t>𝒑</m:t>
                            </m:r>
                            <m:r>
                              <a:rPr lang="en-AU" sz="1100" b="1" i="1">
                                <a:solidFill>
                                  <a:srgbClr val="0000FF"/>
                                </a:solidFill>
                                <a:latin typeface="Cambria Math" panose="02040503050406030204" pitchFamily="18" charset="0"/>
                              </a:rPr>
                              <m:t>(</m:t>
                            </m:r>
                            <m:r>
                              <a:rPr lang="en-AU" sz="1100" b="1" i="1">
                                <a:solidFill>
                                  <a:srgbClr val="0000FF"/>
                                </a:solidFill>
                                <a:latin typeface="Cambria Math" panose="02040503050406030204" pitchFamily="18" charset="0"/>
                              </a:rPr>
                              <m:t>𝟏</m:t>
                            </m:r>
                            <m:r>
                              <a:rPr lang="en-AU" sz="1100" b="1" i="1">
                                <a:solidFill>
                                  <a:srgbClr val="0000FF"/>
                                </a:solidFill>
                                <a:latin typeface="Cambria Math" panose="02040503050406030204" pitchFamily="18" charset="0"/>
                              </a:rPr>
                              <m:t>−</m:t>
                            </m:r>
                            <m:r>
                              <a:rPr lang="en-AU" sz="1100" b="1" i="1">
                                <a:solidFill>
                                  <a:srgbClr val="0000FF"/>
                                </a:solidFill>
                                <a:latin typeface="Cambria Math" panose="02040503050406030204" pitchFamily="18" charset="0"/>
                              </a:rPr>
                              <m:t>𝒑</m:t>
                            </m:r>
                            <m:r>
                              <a:rPr lang="en-AU" sz="1100" b="1" i="1">
                                <a:solidFill>
                                  <a:srgbClr val="0000FF"/>
                                </a:solidFill>
                                <a:latin typeface="Cambria Math" panose="02040503050406030204" pitchFamily="18" charset="0"/>
                              </a:rPr>
                              <m:t>)</m:t>
                            </m:r>
                          </m:num>
                          <m:den>
                            <m:r>
                              <a:rPr lang="en-AU" sz="1100" b="1" i="1">
                                <a:solidFill>
                                  <a:srgbClr val="0000FF"/>
                                </a:solidFill>
                                <a:latin typeface="Cambria Math" panose="02040503050406030204" pitchFamily="18" charset="0"/>
                              </a:rPr>
                              <m:t>𝒏</m:t>
                            </m:r>
                          </m:den>
                        </m:f>
                      </m:e>
                    </m:rad>
                  </m:oMath>
                </m:oMathPara>
              </a14:m>
              <a:endParaRPr lang="en-AU" sz="1100" b="1"/>
            </a:p>
          </xdr:txBody>
        </xdr:sp>
      </mc:Choice>
      <mc:Fallback xmlns="">
        <xdr:sp macro="" textlink="">
          <xdr:nvSpPr>
            <xdr:cNvPr id="7" name="TextBox 6">
              <a:extLst>
                <a:ext uri="{FF2B5EF4-FFF2-40B4-BE49-F238E27FC236}">
                  <a16:creationId xmlns:a16="http://schemas.microsoft.com/office/drawing/2014/main" id="{DD7BDAE9-B27D-9748-9043-488CD1E69E99}"/>
                </a:ext>
              </a:extLst>
            </xdr:cNvPr>
            <xdr:cNvSpPr txBox="1"/>
          </xdr:nvSpPr>
          <xdr:spPr>
            <a:xfrm>
              <a:off x="13700760" y="2881630"/>
              <a:ext cx="1205266" cy="2049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1" i="0">
                  <a:solidFill>
                    <a:srgbClr val="0000FF"/>
                  </a:solidFill>
                  <a:latin typeface="Cambria Math" panose="02040503050406030204" pitchFamily="18" charset="0"/>
                </a:rPr>
                <a:t>𝑺𝑬=√(〖𝒑(𝟏−𝒑)〗∕𝒏)</a:t>
              </a:r>
              <a:endParaRPr lang="en-AU" sz="1100" b="1"/>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30480</xdr:colOff>
      <xdr:row>14</xdr:row>
      <xdr:rowOff>121920</xdr:rowOff>
    </xdr:from>
    <xdr:ext cx="1246239" cy="264560"/>
    <xdr:sp macro="" textlink="">
      <xdr:nvSpPr>
        <xdr:cNvPr id="2" name="TextBox 1">
          <a:extLst>
            <a:ext uri="{FF2B5EF4-FFF2-40B4-BE49-F238E27FC236}">
              <a16:creationId xmlns:a16="http://schemas.microsoft.com/office/drawing/2014/main" id="{C3A78BD3-14BB-CE47-8B83-90D00AEDEFCE}"/>
            </a:ext>
          </a:extLst>
        </xdr:cNvPr>
        <xdr:cNvSpPr txBox="1"/>
      </xdr:nvSpPr>
      <xdr:spPr>
        <a:xfrm>
          <a:off x="2125980" y="2788920"/>
          <a:ext cx="1246239" cy="264560"/>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1">
              <a:solidFill>
                <a:srgbClr val="FF0000"/>
              </a:solidFill>
            </a:rPr>
            <a:t>Always</a:t>
          </a:r>
          <a:r>
            <a:rPr lang="en-AU" sz="1100" b="1" baseline="0">
              <a:solidFill>
                <a:srgbClr val="FF0000"/>
              </a:solidFill>
            </a:rPr>
            <a:t> Round up!</a:t>
          </a:r>
          <a:endParaRPr lang="en-AU" sz="1100" b="1">
            <a:solidFill>
              <a:srgbClr val="FF0000"/>
            </a:solidFill>
          </a:endParaRPr>
        </a:p>
      </xdr:txBody>
    </xdr:sp>
    <xdr:clientData/>
  </xdr:oneCellAnchor>
  <xdr:oneCellAnchor>
    <xdr:from>
      <xdr:col>8</xdr:col>
      <xdr:colOff>30480</xdr:colOff>
      <xdr:row>14</xdr:row>
      <xdr:rowOff>114300</xdr:rowOff>
    </xdr:from>
    <xdr:ext cx="1246239" cy="264560"/>
    <xdr:sp macro="" textlink="">
      <xdr:nvSpPr>
        <xdr:cNvPr id="3" name="TextBox 2">
          <a:extLst>
            <a:ext uri="{FF2B5EF4-FFF2-40B4-BE49-F238E27FC236}">
              <a16:creationId xmlns:a16="http://schemas.microsoft.com/office/drawing/2014/main" id="{1C363B3C-DE50-FE42-9ECB-F0818B9BC77E}"/>
            </a:ext>
          </a:extLst>
        </xdr:cNvPr>
        <xdr:cNvSpPr txBox="1"/>
      </xdr:nvSpPr>
      <xdr:spPr>
        <a:xfrm>
          <a:off x="5618480" y="2781300"/>
          <a:ext cx="1246239" cy="264560"/>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1">
              <a:solidFill>
                <a:srgbClr val="FF0000"/>
              </a:solidFill>
            </a:rPr>
            <a:t>Always</a:t>
          </a:r>
          <a:r>
            <a:rPr lang="en-AU" sz="1100" b="1" baseline="0">
              <a:solidFill>
                <a:srgbClr val="FF0000"/>
              </a:solidFill>
            </a:rPr>
            <a:t> Round up!</a:t>
          </a:r>
          <a:endParaRPr lang="en-AU" sz="1100" b="1">
            <a:solidFill>
              <a:srgbClr val="FF0000"/>
            </a:solidFill>
          </a:endParaRP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eakin365-my.sharepoint.com/Users/rishitasharma/Downloads/Tute%204%20Excel%20Workbook_Answers22.xlsx" TargetMode="External"/><Relationship Id="rId1" Type="http://schemas.openxmlformats.org/officeDocument/2006/relationships/externalLinkPath" Target="/Users/rishitasharma/Downloads/Tute%204%20Excel%20Workbook_Answers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4.19"/>
      <sheetName val="Ex5.3"/>
      <sheetName val="Ex5.23"/>
      <sheetName val="Ex5.31"/>
    </sheetNames>
    <sheetDataSet>
      <sheetData sheetId="0">
        <row r="90">
          <cell r="O90" t="str">
            <v>Not in Loyalty Program</v>
          </cell>
          <cell r="P90" t="str">
            <v>In Loyalty Program</v>
          </cell>
        </row>
        <row r="91">
          <cell r="N91" t="str">
            <v>Female</v>
          </cell>
          <cell r="O91">
            <v>91</v>
          </cell>
          <cell r="P91">
            <v>99</v>
          </cell>
        </row>
        <row r="92">
          <cell r="N92" t="str">
            <v>Male</v>
          </cell>
          <cell r="O92">
            <v>69</v>
          </cell>
          <cell r="P92">
            <v>127</v>
          </cell>
        </row>
        <row r="93">
          <cell r="N93" t="str">
            <v>Other</v>
          </cell>
          <cell r="O93">
            <v>5</v>
          </cell>
          <cell r="P93">
            <v>9</v>
          </cell>
        </row>
        <row r="94">
          <cell r="N94" t="str">
            <v>Total Customers</v>
          </cell>
          <cell r="O94">
            <v>165</v>
          </cell>
          <cell r="P94">
            <v>235</v>
          </cell>
        </row>
      </sheetData>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ita Sharma" refreshedDate="45772.704416203705" createdVersion="8" refreshedVersion="8" minRefreshableVersion="3" recordCount="400" xr:uid="{94637373-678F-B846-9182-10B220E63A62}">
  <cacheSource type="worksheet">
    <worksheetSource ref="A1:P401" sheet="Customer Data Set"/>
  </cacheSource>
  <cacheFields count="16">
    <cacheField name="Cust_ID" numFmtId="0">
      <sharedItems/>
    </cacheField>
    <cacheField name="Age" numFmtId="0">
      <sharedItems containsSemiMixedTypes="0" containsString="0" containsNumber="1" containsInteger="1" minValue="18" maxValue="75"/>
    </cacheField>
    <cacheField name="Gender" numFmtId="0">
      <sharedItems count="3">
        <s v="Female"/>
        <s v="Male"/>
        <s v="Other"/>
      </sharedItems>
    </cacheField>
    <cacheField name="State" numFmtId="0">
      <sharedItems/>
    </cacheField>
    <cacheField name="Marital" numFmtId="0">
      <sharedItems/>
    </cacheField>
    <cacheField name="Edu_Level" numFmtId="0">
      <sharedItems/>
    </cacheField>
    <cacheField name="Income" numFmtId="0">
      <sharedItems containsSemiMixedTypes="0" containsString="0" containsNumber="1" minValue="20.05" maxValue="249.06200000000001"/>
    </cacheField>
    <cacheField name="Total_Spend" numFmtId="0">
      <sharedItems containsSemiMixedTypes="0" containsString="0" containsNumber="1" minValue="5.6929999999999996" maxValue="137.63999999999999"/>
    </cacheField>
    <cacheField name="Num_Trans" numFmtId="0">
      <sharedItems containsSemiMixedTypes="0" containsString="0" containsNumber="1" containsInteger="1" minValue="5" maxValue="150"/>
    </cacheField>
    <cacheField name="Avg_Trans" numFmtId="0">
      <sharedItems containsSemiMixedTypes="0" containsString="0" containsNumber="1" minValue="53.63" maxValue="19498.599999999999"/>
    </cacheField>
    <cacheField name="Loyalty" numFmtId="0">
      <sharedItems count="2">
        <s v="Yes"/>
        <s v="No"/>
      </sharedItems>
    </cacheField>
    <cacheField name="Online_Freq" numFmtId="0">
      <sharedItems/>
    </cacheField>
    <cacheField name="Pref_Cat" numFmtId="0">
      <sharedItems/>
    </cacheField>
    <cacheField name="Disc_Usage" numFmtId="0">
      <sharedItems count="3">
        <s v="Frequently"/>
        <s v="Occasionally"/>
        <s v="Never"/>
      </sharedItems>
    </cacheField>
    <cacheField name="Sat_Score" numFmtId="0">
      <sharedItems containsSemiMixedTypes="0" containsString="0" containsNumber="1" containsInteger="1" minValue="1" maxValue="10"/>
    </cacheField>
    <cacheField name="Return_Rate" numFmtId="0">
      <sharedItems containsSemiMixedTypes="0" containsString="0" containsNumber="1" minValue="0.2" maxValue="49.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ita Sharma" refreshedDate="45776.773792476852" createdVersion="8" refreshedVersion="8" minRefreshableVersion="3" recordCount="400" xr:uid="{8B65B4B1-1059-4948-85CF-0FA12B90CCC9}">
  <cacheSource type="worksheet">
    <worksheetSource ref="A1:C401" sheet="Q2(c)"/>
  </cacheSource>
  <cacheFields count="3">
    <cacheField name="Age" numFmtId="0">
      <sharedItems containsSemiMixedTypes="0" containsString="0" containsNumber="1" containsInteger="1" minValue="18" maxValue="75" count="57">
        <n v="67"/>
        <n v="20"/>
        <n v="43"/>
        <n v="51"/>
        <n v="57"/>
        <n v="40"/>
        <n v="74"/>
        <n v="41"/>
        <n v="69"/>
        <n v="53"/>
        <n v="42"/>
        <n v="54"/>
        <n v="58"/>
        <n v="64"/>
        <n v="48"/>
        <n v="49"/>
        <n v="25"/>
        <n v="65"/>
        <n v="18"/>
        <n v="38"/>
        <n v="30"/>
        <n v="37"/>
        <n v="70"/>
        <n v="19"/>
        <n v="75"/>
        <n v="66"/>
        <n v="36"/>
        <n v="72"/>
        <n v="27"/>
        <n v="55"/>
        <n v="24"/>
        <n v="47"/>
        <n v="59"/>
        <n v="22"/>
        <n v="32"/>
        <n v="28"/>
        <n v="26"/>
        <n v="62"/>
        <n v="73"/>
        <n v="44"/>
        <n v="56"/>
        <n v="50"/>
        <n v="60"/>
        <n v="34"/>
        <n v="21"/>
        <n v="52"/>
        <n v="45"/>
        <n v="23"/>
        <n v="68"/>
        <n v="63"/>
        <n v="29"/>
        <n v="46"/>
        <n v="33"/>
        <n v="71"/>
        <n v="35"/>
        <n v="61"/>
        <n v="31"/>
      </sharedItems>
    </cacheField>
    <cacheField name="Disc_Usage" numFmtId="0">
      <sharedItems count="3">
        <s v="Frequently"/>
        <s v="Occasionally"/>
        <s v="Never"/>
      </sharedItems>
    </cacheField>
    <cacheField name="Age_Groups" numFmtId="0">
      <sharedItems count="4">
        <s v="60+"/>
        <s v="18-29"/>
        <s v="30-44"/>
        <s v="45-59"/>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ita Sharma" refreshedDate="45777.402268634258" createdVersion="8" refreshedVersion="8" minRefreshableVersion="3" recordCount="400" xr:uid="{78D558A5-127C-8743-AEE1-AD3B97C48D25}">
  <cacheSource type="worksheet">
    <worksheetSource ref="A1:A401" sheet="Q4(b)"/>
  </cacheSource>
  <cacheFields count="1">
    <cacheField name="Disc_Usage" numFmtId="0">
      <sharedItems count="3">
        <s v="Frequently"/>
        <s v="Occasionally"/>
        <s v="Never"/>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ita Sharma" refreshedDate="45780.131297453707" createdVersion="8" refreshedVersion="8" minRefreshableVersion="3" recordCount="400" xr:uid="{62B0A248-83A4-E94E-9B75-E92F4FA3F5E0}">
  <cacheSource type="worksheet">
    <worksheetSource ref="A1:C401" sheet="Q2(a)"/>
  </cacheSource>
  <cacheFields count="3">
    <cacheField name="Total_Spend" numFmtId="0">
      <sharedItems containsSemiMixedTypes="0" containsString="0" containsNumber="1" minValue="5.6929999999999996" maxValue="137.63999999999999"/>
    </cacheField>
    <cacheField name="Num_Trans" numFmtId="0">
      <sharedItems containsSemiMixedTypes="0" containsString="0" containsNumber="1" containsInteger="1" minValue="5" maxValue="150"/>
    </cacheField>
    <cacheField name="Spending_Groups" numFmtId="0">
      <sharedItems count="6">
        <s v="Low Spend (&lt;$22,000)"/>
        <s v="Middle Spend ($45,000 - $66,000)"/>
        <s v="Upper-Middle Spend ($67,000 - $88,000)"/>
        <s v="Lower-Middle Spend ($23,000 - $44,000)"/>
        <s v="High Spend ($89,000 - $132,000)"/>
        <s v="Premium Spend (&gt;$132,00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ita Sharma" refreshedDate="45780.568102662037" createdVersion="8" refreshedVersion="8" minRefreshableVersion="3" recordCount="400" xr:uid="{1CA66B6B-FDBC-F341-8DC9-4229B0BE1E9C}">
  <cacheSource type="worksheet">
    <worksheetSource ref="A1:B401" sheet="Q4(a)"/>
  </cacheSource>
  <cacheFields count="2">
    <cacheField name="Total_Spend" numFmtId="0">
      <sharedItems containsSemiMixedTypes="0" containsString="0" containsNumber="1" minValue="5.6929999999999996" maxValue="137.63999999999999"/>
    </cacheField>
    <cacheField name="Spending_Groups" numFmtId="0">
      <sharedItems count="6">
        <s v="Low Spend (&lt;$22,000)"/>
        <s v="Middle Spend ($45,000 - $66,000)"/>
        <s v="Upper-Middle Spend ($67,000 - $88,000)"/>
        <s v="Lower-Middle Spend ($23,000 - $44,000)"/>
        <s v="High Spend ($89,000 - $132,000)"/>
        <s v="Premium Spend (&gt;$132,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CUST0001"/>
    <n v="67"/>
    <x v="0"/>
    <s v="NSW"/>
    <s v="Married"/>
    <s v="Master's"/>
    <n v="33.695999999999998"/>
    <n v="17.388000000000002"/>
    <n v="19"/>
    <n v="146.12"/>
    <x v="0"/>
    <s v="Rarely"/>
    <s v="Sports"/>
    <x v="0"/>
    <n v="2"/>
    <n v="0.56999999999999995"/>
  </r>
  <r>
    <s v="CUST0002"/>
    <n v="20"/>
    <x v="0"/>
    <s v="QLD"/>
    <s v="Single"/>
    <s v="Bachelor's"/>
    <n v="230.4"/>
    <n v="46.656999999999996"/>
    <n v="11"/>
    <n v="690.6"/>
    <x v="0"/>
    <s v="Rarely"/>
    <s v="Sports"/>
    <x v="1"/>
    <n v="8"/>
    <n v="0.84"/>
  </r>
  <r>
    <s v="CUST0003"/>
    <n v="43"/>
    <x v="0"/>
    <s v="ACT"/>
    <s v="Single"/>
    <s v="Bachelor's"/>
    <n v="91.149000000000001"/>
    <n v="68.616"/>
    <n v="74"/>
    <n v="927.24"/>
    <x v="0"/>
    <s v="Sometimes"/>
    <s v="Sports"/>
    <x v="1"/>
    <n v="10"/>
    <n v="12.19"/>
  </r>
  <r>
    <s v="CUST0004"/>
    <n v="51"/>
    <x v="1"/>
    <s v="SA"/>
    <s v="Married"/>
    <s v="Master's"/>
    <n v="52.317999999999998"/>
    <n v="28.391999999999999"/>
    <n v="97"/>
    <n v="808.16"/>
    <x v="0"/>
    <s v="Often"/>
    <s v="Beauty"/>
    <x v="1"/>
    <n v="10"/>
    <n v="31.92"/>
  </r>
  <r>
    <s v="CUST0005"/>
    <n v="57"/>
    <x v="2"/>
    <s v="WA"/>
    <s v="Single"/>
    <s v="PhD"/>
    <n v="35.487000000000002"/>
    <n v="43.87"/>
    <n v="10"/>
    <n v="6387"/>
    <x v="1"/>
    <s v="Sometimes"/>
    <s v="Home &amp; Kitchen"/>
    <x v="1"/>
    <n v="1"/>
    <n v="44.82"/>
  </r>
  <r>
    <s v="CUST0006"/>
    <n v="40"/>
    <x v="0"/>
    <s v="VIC"/>
    <s v="Single"/>
    <s v="High School"/>
    <n v="187.886"/>
    <n v="65.685000000000002"/>
    <n v="104"/>
    <n v="631.59"/>
    <x v="0"/>
    <s v="Often"/>
    <s v="Beauty"/>
    <x v="1"/>
    <n v="10"/>
    <n v="13.65"/>
  </r>
  <r>
    <s v="CUST0007"/>
    <n v="74"/>
    <x v="0"/>
    <s v="NSW"/>
    <s v="Married"/>
    <s v="Bachelor's"/>
    <n v="62.287999999999997"/>
    <n v="25.864999999999998"/>
    <n v="97"/>
    <n v="266.64999999999998"/>
    <x v="1"/>
    <s v="Rarely"/>
    <s v="Sports"/>
    <x v="1"/>
    <n v="3"/>
    <n v="29.2"/>
  </r>
  <r>
    <s v="CUST0008"/>
    <n v="41"/>
    <x v="1"/>
    <s v="NT"/>
    <s v="Married"/>
    <s v="Bachelor's"/>
    <n v="42.994"/>
    <n v="40.753999999999998"/>
    <n v="38"/>
    <n v="1072.47"/>
    <x v="1"/>
    <s v="Often"/>
    <s v="Clothing"/>
    <x v="1"/>
    <n v="5"/>
    <n v="37.35"/>
  </r>
  <r>
    <s v="CUST0009"/>
    <n v="69"/>
    <x v="1"/>
    <s v="NT"/>
    <s v="Married"/>
    <s v="High School"/>
    <n v="213.85300000000001"/>
    <n v="16.122"/>
    <n v="58"/>
    <n v="277.97000000000003"/>
    <x v="1"/>
    <s v="Often"/>
    <s v="Home &amp; Kitchen"/>
    <x v="1"/>
    <n v="1"/>
    <n v="49.22"/>
  </r>
  <r>
    <s v="CUST0010"/>
    <n v="53"/>
    <x v="1"/>
    <s v="NT"/>
    <s v="Single"/>
    <s v="Bachelor's"/>
    <n v="114.10899999999999"/>
    <n v="43.776000000000003"/>
    <n v="88"/>
    <n v="497.45"/>
    <x v="0"/>
    <s v="Sometimes"/>
    <s v="Electronics"/>
    <x v="1"/>
    <n v="9"/>
    <n v="4.3099999999999996"/>
  </r>
  <r>
    <s v="CUST0011"/>
    <n v="51"/>
    <x v="1"/>
    <s v="SA"/>
    <s v="Divorced"/>
    <s v="Master's"/>
    <n v="46.691000000000003"/>
    <n v="63.607999999999997"/>
    <n v="36"/>
    <n v="1766.89"/>
    <x v="1"/>
    <s v="Rarely"/>
    <s v="Electronics"/>
    <x v="1"/>
    <n v="2"/>
    <n v="14.84"/>
  </r>
  <r>
    <s v="CUST0012"/>
    <n v="42"/>
    <x v="1"/>
    <s v="TAS"/>
    <s v="Married"/>
    <s v="Bachelor's"/>
    <n v="248.828"/>
    <n v="35.884"/>
    <n v="45"/>
    <n v="1686.31"/>
    <x v="0"/>
    <s v="Often"/>
    <s v="Electronics"/>
    <x v="0"/>
    <n v="8"/>
    <n v="20.05"/>
  </r>
  <r>
    <s v="CUST0013"/>
    <n v="40"/>
    <x v="0"/>
    <s v="NSW"/>
    <s v="Single"/>
    <s v="High School"/>
    <n v="238.476"/>
    <n v="59.942999999999998"/>
    <n v="51"/>
    <n v="1567.51"/>
    <x v="0"/>
    <s v="Rarely"/>
    <s v="Beauty"/>
    <x v="1"/>
    <n v="10"/>
    <n v="43.95"/>
  </r>
  <r>
    <s v="CUST0014"/>
    <n v="54"/>
    <x v="1"/>
    <s v="NSW"/>
    <s v="Married"/>
    <s v="Bachelor's"/>
    <n v="158.75299999999999"/>
    <n v="55.834000000000003"/>
    <n v="48"/>
    <n v="1788.21"/>
    <x v="1"/>
    <s v="Sometimes"/>
    <s v="Electronics"/>
    <x v="2"/>
    <n v="3"/>
    <n v="8.36"/>
  </r>
  <r>
    <s v="CUST0015"/>
    <n v="58"/>
    <x v="0"/>
    <s v="NT"/>
    <s v="Married"/>
    <s v="Bachelor's"/>
    <n v="203.994"/>
    <n v="15.707000000000001"/>
    <n v="41"/>
    <n v="383.1"/>
    <x v="1"/>
    <s v="Rarely"/>
    <s v="Sports"/>
    <x v="2"/>
    <n v="6"/>
    <n v="0.36"/>
  </r>
  <r>
    <s v="CUST0016"/>
    <n v="64"/>
    <x v="1"/>
    <s v="ACT"/>
    <s v="Widowed"/>
    <s v="Bachelor's"/>
    <n v="113.80500000000001"/>
    <n v="67.504000000000005"/>
    <n v="71"/>
    <n v="1514.14"/>
    <x v="1"/>
    <s v="Often"/>
    <s v="Home &amp; Kitchen"/>
    <x v="1"/>
    <n v="3"/>
    <n v="7.55"/>
  </r>
  <r>
    <s v="CUST0017"/>
    <n v="48"/>
    <x v="1"/>
    <s v="ACT"/>
    <s v="Married"/>
    <s v="High School"/>
    <n v="58.161000000000001"/>
    <n v="42.305"/>
    <n v="48"/>
    <n v="556.11"/>
    <x v="0"/>
    <s v="Sometimes"/>
    <s v="Sports"/>
    <x v="2"/>
    <n v="5"/>
    <n v="16.649999999999999"/>
  </r>
  <r>
    <s v="CUST0018"/>
    <n v="48"/>
    <x v="0"/>
    <s v="NT"/>
    <s v="Widowed"/>
    <s v="Master's"/>
    <n v="186.03899999999999"/>
    <n v="45.494"/>
    <n v="18"/>
    <n v="699.02"/>
    <x v="0"/>
    <s v="Always"/>
    <s v="Home &amp; Kitchen"/>
    <x v="0"/>
    <n v="8"/>
    <n v="45.26"/>
  </r>
  <r>
    <s v="CUST0019"/>
    <n v="49"/>
    <x v="0"/>
    <s v="NT"/>
    <s v="Single"/>
    <s v="Bachelor's"/>
    <n v="93.415000000000006"/>
    <n v="25.003"/>
    <n v="31"/>
    <n v="419.87"/>
    <x v="0"/>
    <s v="Always"/>
    <s v="Clothing"/>
    <x v="1"/>
    <n v="3"/>
    <n v="47.76"/>
  </r>
  <r>
    <s v="CUST0020"/>
    <n v="25"/>
    <x v="0"/>
    <s v="NT"/>
    <s v="Divorced"/>
    <s v="PhD"/>
    <n v="165.44499999999999"/>
    <n v="46.646000000000001"/>
    <n v="43"/>
    <n v="1084.79"/>
    <x v="0"/>
    <s v="Rarely"/>
    <s v="Beauty"/>
    <x v="1"/>
    <n v="7"/>
    <n v="2.65"/>
  </r>
  <r>
    <s v="CUST0021"/>
    <n v="65"/>
    <x v="1"/>
    <s v="ACT"/>
    <s v="Divorced"/>
    <s v="Bachelor's"/>
    <n v="140.40199999999999"/>
    <n v="32.247999999999998"/>
    <n v="50"/>
    <n v="548.32000000000005"/>
    <x v="0"/>
    <s v="Rarely"/>
    <s v="Beauty"/>
    <x v="0"/>
    <n v="6"/>
    <n v="24.29"/>
  </r>
  <r>
    <s v="CUST0022"/>
    <n v="42"/>
    <x v="1"/>
    <s v="TAS"/>
    <s v="Divorced"/>
    <s v="Bachelor's"/>
    <n v="59.017000000000003"/>
    <n v="71.543000000000006"/>
    <n v="75"/>
    <n v="953.91"/>
    <x v="0"/>
    <s v="Rarely"/>
    <s v="Beauty"/>
    <x v="0"/>
    <n v="4"/>
    <n v="32.71"/>
  </r>
  <r>
    <s v="CUST0023"/>
    <n v="18"/>
    <x v="1"/>
    <s v="WA"/>
    <s v="Married"/>
    <s v="Bachelor's"/>
    <n v="59.850999999999999"/>
    <n v="37.268999999999998"/>
    <n v="31"/>
    <n v="2815.13"/>
    <x v="1"/>
    <s v="Sometimes"/>
    <s v="Sports"/>
    <x v="1"/>
    <n v="6"/>
    <n v="5.56"/>
  </r>
  <r>
    <s v="CUST0024"/>
    <n v="65"/>
    <x v="0"/>
    <s v="QLD"/>
    <s v="Married"/>
    <s v="Bachelor's"/>
    <n v="134.643"/>
    <n v="34.418999999999997"/>
    <n v="64"/>
    <n v="537.79999999999995"/>
    <x v="1"/>
    <s v="Often"/>
    <s v="Sports"/>
    <x v="0"/>
    <n v="4"/>
    <n v="8.52"/>
  </r>
  <r>
    <s v="CUST0025"/>
    <n v="38"/>
    <x v="1"/>
    <s v="VIC"/>
    <s v="Widowed"/>
    <s v="Bachelor's"/>
    <n v="175.435"/>
    <n v="62.975000000000001"/>
    <n v="40"/>
    <n v="449.82"/>
    <x v="0"/>
    <s v="Rarely"/>
    <s v="Electronics"/>
    <x v="0"/>
    <n v="2"/>
    <n v="33.01"/>
  </r>
  <r>
    <s v="CUST0026"/>
    <n v="51"/>
    <x v="0"/>
    <s v="SA"/>
    <s v="Widowed"/>
    <s v="High School"/>
    <n v="166.505"/>
    <n v="51.877000000000002"/>
    <n v="62"/>
    <n v="1481.89"/>
    <x v="1"/>
    <s v="Often"/>
    <s v="Home &amp; Kitchen"/>
    <x v="1"/>
    <n v="7"/>
    <n v="45.35"/>
  </r>
  <r>
    <s v="CUST0027"/>
    <n v="20"/>
    <x v="1"/>
    <s v="WA"/>
    <s v="Divorced"/>
    <s v="Bachelor's"/>
    <n v="110.54900000000001"/>
    <n v="38.255000000000003"/>
    <n v="13"/>
    <n v="2942.69"/>
    <x v="1"/>
    <s v="Sometimes"/>
    <s v="Sports"/>
    <x v="1"/>
    <n v="3"/>
    <n v="6.9"/>
  </r>
  <r>
    <s v="CUST0028"/>
    <n v="30"/>
    <x v="0"/>
    <s v="WA"/>
    <s v="Single"/>
    <s v="PhD"/>
    <n v="179.678"/>
    <n v="20.73"/>
    <n v="68"/>
    <n v="304.85000000000002"/>
    <x v="1"/>
    <s v="Often"/>
    <s v="Clothing"/>
    <x v="2"/>
    <n v="9"/>
    <n v="29.77"/>
  </r>
  <r>
    <s v="CUST0029"/>
    <n v="37"/>
    <x v="1"/>
    <s v="VIC"/>
    <s v="Married"/>
    <s v="Master's"/>
    <n v="169.26300000000001"/>
    <n v="42.258000000000003"/>
    <n v="68"/>
    <n v="621.44000000000005"/>
    <x v="1"/>
    <s v="Always"/>
    <s v="Home &amp; Kitchen"/>
    <x v="2"/>
    <n v="2"/>
    <n v="39.270000000000003"/>
  </r>
  <r>
    <s v="CUST0030"/>
    <n v="74"/>
    <x v="0"/>
    <s v="NSW"/>
    <s v="Single"/>
    <s v="High School"/>
    <n v="130.84800000000001"/>
    <n v="66.81"/>
    <n v="32"/>
    <n v="506.14"/>
    <x v="1"/>
    <s v="Rarely"/>
    <s v="Electronics"/>
    <x v="2"/>
    <n v="8"/>
    <n v="33.85"/>
  </r>
  <r>
    <s v="CUST0031"/>
    <n v="70"/>
    <x v="1"/>
    <s v="NT"/>
    <s v="Married"/>
    <s v="PhD"/>
    <n v="54.445999999999998"/>
    <n v="8.32"/>
    <n v="51"/>
    <n v="163.13999999999999"/>
    <x v="1"/>
    <s v="Sometimes"/>
    <s v="Home &amp; Kitchen"/>
    <x v="0"/>
    <n v="9"/>
    <n v="40.82"/>
  </r>
  <r>
    <s v="CUST0032"/>
    <n v="19"/>
    <x v="0"/>
    <s v="SA"/>
    <s v="Widowed"/>
    <s v="Bachelor's"/>
    <n v="32.32"/>
    <n v="76.06"/>
    <n v="39"/>
    <n v="547.19000000000005"/>
    <x v="0"/>
    <s v="Sometimes"/>
    <s v="Sports"/>
    <x v="1"/>
    <n v="6"/>
    <n v="13.06"/>
  </r>
  <r>
    <s v="CUST0033"/>
    <n v="75"/>
    <x v="0"/>
    <s v="NSW"/>
    <s v="Single"/>
    <s v="High School"/>
    <n v="72.727000000000004"/>
    <n v="69.683000000000007"/>
    <n v="48"/>
    <n v="1451.73"/>
    <x v="0"/>
    <s v="Rarely"/>
    <s v="Home &amp; Kitchen"/>
    <x v="1"/>
    <n v="7"/>
    <n v="5.43"/>
  </r>
  <r>
    <s v="CUST0034"/>
    <n v="66"/>
    <x v="0"/>
    <s v="ACT"/>
    <s v="Divorced"/>
    <s v="Bachelor's"/>
    <n v="92.537000000000006"/>
    <n v="12.763"/>
    <n v="12"/>
    <n v="736.21"/>
    <x v="0"/>
    <s v="Rarely"/>
    <s v="Beauty"/>
    <x v="2"/>
    <n v="3"/>
    <n v="16.61"/>
  </r>
  <r>
    <s v="CUST0035"/>
    <n v="36"/>
    <x v="0"/>
    <s v="WA"/>
    <s v="Single"/>
    <s v="Master's"/>
    <n v="26.861000000000001"/>
    <n v="71.554000000000002"/>
    <n v="101"/>
    <n v="708.46"/>
    <x v="0"/>
    <s v="Sometimes"/>
    <s v="Electronics"/>
    <x v="1"/>
    <n v="6"/>
    <n v="9.41"/>
  </r>
  <r>
    <s v="CUST0036"/>
    <n v="72"/>
    <x v="0"/>
    <s v="TAS"/>
    <s v="Divorced"/>
    <s v="Master's"/>
    <n v="86.099000000000004"/>
    <n v="25.687000000000001"/>
    <n v="18"/>
    <n v="903.8"/>
    <x v="0"/>
    <s v="Often"/>
    <s v="Home &amp; Kitchen"/>
    <x v="2"/>
    <n v="7"/>
    <n v="14.58"/>
  </r>
  <r>
    <s v="CUST0037"/>
    <n v="27"/>
    <x v="1"/>
    <s v="SA"/>
    <s v="Married"/>
    <s v="Bachelor's"/>
    <n v="92.39"/>
    <n v="79.507999999999996"/>
    <n v="12"/>
    <n v="6625.67"/>
    <x v="1"/>
    <s v="Often"/>
    <s v="Clothing"/>
    <x v="1"/>
    <n v="4"/>
    <n v="12"/>
  </r>
  <r>
    <s v="CUST0038"/>
    <n v="18"/>
    <x v="0"/>
    <s v="WA"/>
    <s v="Married"/>
    <s v="Master's"/>
    <n v="29.562999999999999"/>
    <n v="55.863999999999997"/>
    <n v="36"/>
    <n v="826.41"/>
    <x v="0"/>
    <s v="Often"/>
    <s v="Clothing"/>
    <x v="2"/>
    <n v="7"/>
    <n v="10.08"/>
  </r>
  <r>
    <s v="CUST0039"/>
    <n v="49"/>
    <x v="1"/>
    <s v="SA"/>
    <s v="Single"/>
    <s v="Bachelor's"/>
    <n v="125.679"/>
    <n v="21.869"/>
    <n v="51"/>
    <n v="428.8"/>
    <x v="1"/>
    <s v="Sometimes"/>
    <s v="Beauty"/>
    <x v="1"/>
    <n v="2"/>
    <n v="46.47"/>
  </r>
  <r>
    <s v="CUST0040"/>
    <n v="55"/>
    <x v="1"/>
    <s v="NT"/>
    <s v="Married"/>
    <s v="Bachelor's"/>
    <n v="48.691000000000003"/>
    <n v="48.048999999999999"/>
    <n v="43"/>
    <n v="336.01"/>
    <x v="0"/>
    <s v="Always"/>
    <s v="Home &amp; Kitchen"/>
    <x v="0"/>
    <n v="8"/>
    <n v="14.21"/>
  </r>
  <r>
    <s v="CUST0041"/>
    <n v="24"/>
    <x v="2"/>
    <s v="NT"/>
    <s v="Married"/>
    <s v="Bachelor's"/>
    <n v="230.56399999999999"/>
    <n v="56.99"/>
    <n v="14"/>
    <n v="499.91"/>
    <x v="0"/>
    <s v="Rarely"/>
    <s v="Beauty"/>
    <x v="0"/>
    <n v="5"/>
    <n v="24.92"/>
  </r>
  <r>
    <s v="CUST0042"/>
    <n v="47"/>
    <x v="1"/>
    <s v="TAS"/>
    <s v="Divorced"/>
    <s v="Bachelor's"/>
    <n v="62.098999999999997"/>
    <n v="56.372999999999998"/>
    <n v="26"/>
    <n v="447.4"/>
    <x v="0"/>
    <s v="Always"/>
    <s v="Electronics"/>
    <x v="0"/>
    <n v="3"/>
    <n v="19.59"/>
  </r>
  <r>
    <s v="CUST0043"/>
    <n v="59"/>
    <x v="1"/>
    <s v="ACT"/>
    <s v="Single"/>
    <s v="Bachelor's"/>
    <n v="220.21799999999999"/>
    <n v="44.795000000000002"/>
    <n v="32"/>
    <n v="339.36"/>
    <x v="0"/>
    <s v="Always"/>
    <s v="Home &amp; Kitchen"/>
    <x v="2"/>
    <n v="6"/>
    <n v="39.5"/>
  </r>
  <r>
    <s v="CUST0044"/>
    <n v="22"/>
    <x v="0"/>
    <s v="WA"/>
    <s v="Divorced"/>
    <s v="High School"/>
    <n v="81.924999999999997"/>
    <n v="22.158000000000001"/>
    <n v="22"/>
    <n v="1007.18"/>
    <x v="1"/>
    <s v="Sometimes"/>
    <s v="Electronics"/>
    <x v="0"/>
    <n v="6"/>
    <n v="8.99"/>
  </r>
  <r>
    <s v="CUST0045"/>
    <n v="48"/>
    <x v="0"/>
    <s v="NT"/>
    <s v="Divorced"/>
    <s v="Bachelor's"/>
    <n v="91.02"/>
    <n v="59.811999999999998"/>
    <n v="80"/>
    <n v="1372.65"/>
    <x v="1"/>
    <s v="Rarely"/>
    <s v="Sports"/>
    <x v="1"/>
    <n v="3"/>
    <n v="39.47"/>
  </r>
  <r>
    <s v="CUST0046"/>
    <n v="48"/>
    <x v="1"/>
    <s v="QLD"/>
    <s v="Widowed"/>
    <s v="Master's"/>
    <n v="53.798999999999999"/>
    <n v="28.178000000000001"/>
    <n v="58"/>
    <n v="1692.72"/>
    <x v="0"/>
    <s v="Sometimes"/>
    <s v="Sports"/>
    <x v="1"/>
    <n v="7"/>
    <n v="49.85"/>
  </r>
  <r>
    <s v="CUST0047"/>
    <n v="20"/>
    <x v="0"/>
    <s v="TAS"/>
    <s v="Single"/>
    <s v="PhD"/>
    <n v="193.47900000000001"/>
    <n v="30.478000000000002"/>
    <n v="88"/>
    <n v="1028.1600000000001"/>
    <x v="0"/>
    <s v="Often"/>
    <s v="Beauty"/>
    <x v="2"/>
    <n v="4"/>
    <n v="2.5499999999999998"/>
  </r>
  <r>
    <s v="CUST0048"/>
    <n v="53"/>
    <x v="1"/>
    <s v="VIC"/>
    <s v="Divorced"/>
    <s v="Bachelor's"/>
    <n v="62.921999999999997"/>
    <n v="33.076000000000001"/>
    <n v="98"/>
    <n v="337.51"/>
    <x v="0"/>
    <s v="Often"/>
    <s v="Beauty"/>
    <x v="1"/>
    <n v="10"/>
    <n v="14.78"/>
  </r>
  <r>
    <s v="CUST0049"/>
    <n v="66"/>
    <x v="1"/>
    <s v="NT"/>
    <s v="Widowed"/>
    <s v="High School"/>
    <n v="142.309"/>
    <n v="38.529000000000003"/>
    <n v="27"/>
    <n v="3649.22"/>
    <x v="0"/>
    <s v="Often"/>
    <s v="Sports"/>
    <x v="1"/>
    <n v="6"/>
    <n v="49.32"/>
  </r>
  <r>
    <s v="CUST0050"/>
    <n v="20"/>
    <x v="1"/>
    <s v="ACT"/>
    <s v="Single"/>
    <s v="Bachelor's"/>
    <n v="59.540999999999997"/>
    <n v="25.236000000000001"/>
    <n v="43"/>
    <n v="586.88"/>
    <x v="0"/>
    <s v="Often"/>
    <s v="Clothing"/>
    <x v="1"/>
    <n v="7"/>
    <n v="8.69"/>
  </r>
  <r>
    <s v="CUST0051"/>
    <n v="32"/>
    <x v="1"/>
    <s v="NT"/>
    <s v="Married"/>
    <s v="High School"/>
    <n v="177.35"/>
    <n v="43.134"/>
    <n v="90"/>
    <n v="1034.82"/>
    <x v="1"/>
    <s v="Always"/>
    <s v="Home &amp; Kitchen"/>
    <x v="0"/>
    <n v="7"/>
    <n v="39.36"/>
  </r>
  <r>
    <s v="CUST0052"/>
    <n v="28"/>
    <x v="1"/>
    <s v="ACT"/>
    <s v="Single"/>
    <s v="High School"/>
    <n v="168.916"/>
    <n v="40.027999999999999"/>
    <n v="89"/>
    <n v="449.75"/>
    <x v="1"/>
    <s v="Often"/>
    <s v="Sports"/>
    <x v="0"/>
    <n v="5"/>
    <n v="42.75"/>
  </r>
  <r>
    <s v="CUST0053"/>
    <n v="41"/>
    <x v="0"/>
    <s v="WA"/>
    <s v="Married"/>
    <s v="Bachelor's"/>
    <n v="178.458"/>
    <n v="18.603000000000002"/>
    <n v="14"/>
    <n v="129.19"/>
    <x v="1"/>
    <s v="Often"/>
    <s v="Home &amp; Kitchen"/>
    <x v="0"/>
    <n v="1"/>
    <n v="45.78"/>
  </r>
  <r>
    <s v="CUST0054"/>
    <n v="58"/>
    <x v="0"/>
    <s v="WA"/>
    <s v="Married"/>
    <s v="Bachelor's"/>
    <n v="170.637"/>
    <n v="29.172999999999998"/>
    <n v="75"/>
    <n v="388.97"/>
    <x v="0"/>
    <s v="Often"/>
    <s v="Clothing"/>
    <x v="2"/>
    <n v="3"/>
    <n v="9.35"/>
  </r>
  <r>
    <s v="CUST0055"/>
    <n v="26"/>
    <x v="0"/>
    <s v="TAS"/>
    <s v="Married"/>
    <s v="Bachelor's"/>
    <n v="164.69800000000001"/>
    <n v="36.603000000000002"/>
    <n v="14"/>
    <n v="7614.5"/>
    <x v="1"/>
    <s v="Rarely"/>
    <s v="Electronics"/>
    <x v="1"/>
    <n v="2"/>
    <n v="41.49"/>
  </r>
  <r>
    <s v="CUST0056"/>
    <n v="62"/>
    <x v="0"/>
    <s v="SA"/>
    <s v="Married"/>
    <s v="High School"/>
    <n v="42.59"/>
    <n v="73.004000000000005"/>
    <n v="25"/>
    <n v="904.03"/>
    <x v="1"/>
    <s v="Sometimes"/>
    <s v="Beauty"/>
    <x v="1"/>
    <n v="8"/>
    <n v="16.329999999999998"/>
  </r>
  <r>
    <s v="CUST0057"/>
    <n v="24"/>
    <x v="0"/>
    <s v="ACT"/>
    <s v="Single"/>
    <s v="Master's"/>
    <n v="195.684"/>
    <n v="56.515000000000001"/>
    <n v="18"/>
    <n v="893.66"/>
    <x v="1"/>
    <s v="Rarely"/>
    <s v="Home &amp; Kitchen"/>
    <x v="0"/>
    <n v="5"/>
    <n v="7.51"/>
  </r>
  <r>
    <s v="CUST0058"/>
    <n v="65"/>
    <x v="0"/>
    <s v="NT"/>
    <s v="Single"/>
    <s v="Master's"/>
    <n v="121.15"/>
    <n v="61.512"/>
    <n v="68"/>
    <n v="904.59"/>
    <x v="0"/>
    <s v="Often"/>
    <s v="Electronics"/>
    <x v="1"/>
    <n v="5"/>
    <n v="40.54"/>
  </r>
  <r>
    <s v="CUST0059"/>
    <n v="74"/>
    <x v="0"/>
    <s v="SA"/>
    <s v="Married"/>
    <s v="High School"/>
    <n v="54.636000000000003"/>
    <n v="80.498000000000005"/>
    <n v="100"/>
    <n v="804.98"/>
    <x v="1"/>
    <s v="Sometimes"/>
    <s v="Electronics"/>
    <x v="0"/>
    <n v="10"/>
    <n v="23.31"/>
  </r>
  <r>
    <s v="CUST0060"/>
    <n v="51"/>
    <x v="1"/>
    <s v="NSW"/>
    <s v="Single"/>
    <s v="Master's"/>
    <n v="131.96799999999999"/>
    <n v="27.545999999999999"/>
    <n v="42"/>
    <n v="655.86"/>
    <x v="0"/>
    <s v="Often"/>
    <s v="Beauty"/>
    <x v="1"/>
    <n v="5"/>
    <n v="15.98"/>
  </r>
  <r>
    <s v="CUST0061"/>
    <n v="27"/>
    <x v="1"/>
    <s v="NSW"/>
    <s v="Single"/>
    <s v="High School"/>
    <n v="223.363"/>
    <n v="69.968000000000004"/>
    <n v="50"/>
    <n v="466.45"/>
    <x v="1"/>
    <s v="Sometimes"/>
    <s v="Electronics"/>
    <x v="2"/>
    <n v="5"/>
    <n v="39.42"/>
  </r>
  <r>
    <s v="CUST0062"/>
    <n v="73"/>
    <x v="1"/>
    <s v="QLD"/>
    <s v="Divorced"/>
    <s v="Bachelor's"/>
    <n v="66.847999999999999"/>
    <n v="79.772000000000006"/>
    <n v="31"/>
    <n v="2573.29"/>
    <x v="1"/>
    <s v="Sometimes"/>
    <s v="Beauty"/>
    <x v="0"/>
    <n v="8"/>
    <n v="11.62"/>
  </r>
  <r>
    <s v="CUST0063"/>
    <n v="30"/>
    <x v="1"/>
    <s v="QLD"/>
    <s v="Single"/>
    <s v="Bachelor's"/>
    <n v="38.656999999999996"/>
    <n v="25.855"/>
    <n v="40"/>
    <n v="646.38"/>
    <x v="0"/>
    <s v="Often"/>
    <s v="Beauty"/>
    <x v="1"/>
    <n v="10"/>
    <n v="0.2"/>
  </r>
  <r>
    <s v="CUST0064"/>
    <n v="42"/>
    <x v="1"/>
    <s v="QLD"/>
    <s v="Married"/>
    <s v="PhD"/>
    <n v="216.904"/>
    <n v="19.073"/>
    <n v="15"/>
    <n v="1271.53"/>
    <x v="0"/>
    <s v="Sometimes"/>
    <s v="Beauty"/>
    <x v="1"/>
    <n v="10"/>
    <n v="15.05"/>
  </r>
  <r>
    <s v="CUST0065"/>
    <n v="72"/>
    <x v="0"/>
    <s v="TAS"/>
    <s v="Single"/>
    <s v="PhD"/>
    <n v="171.71899999999999"/>
    <n v="26.183"/>
    <n v="84"/>
    <n v="311.7"/>
    <x v="1"/>
    <s v="Rarely"/>
    <s v="Clothing"/>
    <x v="1"/>
    <n v="4"/>
    <n v="34.89"/>
  </r>
  <r>
    <s v="CUST0066"/>
    <n v="44"/>
    <x v="0"/>
    <s v="WA"/>
    <s v="Divorced"/>
    <s v="Bachelor's"/>
    <n v="188.05799999999999"/>
    <n v="13.362"/>
    <n v="71"/>
    <n v="188.2"/>
    <x v="1"/>
    <s v="Always"/>
    <s v="Beauty"/>
    <x v="0"/>
    <n v="2"/>
    <n v="47.36"/>
  </r>
  <r>
    <s v="CUST0067"/>
    <n v="56"/>
    <x v="0"/>
    <s v="ACT"/>
    <s v="Married"/>
    <s v="Bachelor's"/>
    <n v="53.954000000000001"/>
    <n v="68.884"/>
    <n v="57"/>
    <n v="542.39"/>
    <x v="0"/>
    <s v="Rarely"/>
    <s v="Clothing"/>
    <x v="0"/>
    <n v="2"/>
    <n v="6.65"/>
  </r>
  <r>
    <s v="CUST0068"/>
    <n v="62"/>
    <x v="0"/>
    <s v="TAS"/>
    <s v="Married"/>
    <s v="Bachelor's"/>
    <n v="109.73099999999999"/>
    <n v="9.5280000000000005"/>
    <n v="8"/>
    <n v="74.44"/>
    <x v="0"/>
    <s v="Sometimes"/>
    <s v="Home &amp; Kitchen"/>
    <x v="0"/>
    <n v="10"/>
    <n v="24.26"/>
  </r>
  <r>
    <s v="CUST0069"/>
    <n v="70"/>
    <x v="1"/>
    <s v="TAS"/>
    <s v="Married"/>
    <s v="Master's"/>
    <n v="41.42"/>
    <n v="88.766999999999996"/>
    <n v="96"/>
    <n v="813.47"/>
    <x v="0"/>
    <s v="Always"/>
    <s v="Electronics"/>
    <x v="2"/>
    <n v="1"/>
    <n v="17.13"/>
  </r>
  <r>
    <s v="CUST0070"/>
    <n v="55"/>
    <x v="1"/>
    <s v="NT"/>
    <s v="Divorced"/>
    <s v="Master's"/>
    <n v="50.243000000000002"/>
    <n v="68.938000000000002"/>
    <n v="57"/>
    <n v="589.21"/>
    <x v="1"/>
    <s v="Sometimes"/>
    <s v="Home &amp; Kitchen"/>
    <x v="1"/>
    <n v="1"/>
    <n v="42.34"/>
  </r>
  <r>
    <s v="CUST0071"/>
    <n v="62"/>
    <x v="1"/>
    <s v="WA"/>
    <s v="Divorced"/>
    <s v="Bachelor's"/>
    <n v="156.77600000000001"/>
    <n v="35.783000000000001"/>
    <n v="19"/>
    <n v="240.15"/>
    <x v="0"/>
    <s v="Rarely"/>
    <s v="Clothing"/>
    <x v="0"/>
    <n v="7"/>
    <n v="38.200000000000003"/>
  </r>
  <r>
    <s v="CUST0072"/>
    <n v="19"/>
    <x v="1"/>
    <s v="WA"/>
    <s v="Married"/>
    <s v="Master's"/>
    <n v="61.29"/>
    <n v="68.212000000000003"/>
    <n v="48"/>
    <n v="1421.08"/>
    <x v="0"/>
    <s v="Sometimes"/>
    <s v="Sports"/>
    <x v="0"/>
    <n v="2"/>
    <n v="1.19"/>
  </r>
  <r>
    <s v="CUST0073"/>
    <n v="50"/>
    <x v="0"/>
    <s v="ACT"/>
    <s v="Single"/>
    <s v="Bachelor's"/>
    <n v="210.38300000000001"/>
    <n v="55.284999999999997"/>
    <n v="53"/>
    <n v="1043.1099999999999"/>
    <x v="1"/>
    <s v="Rarely"/>
    <s v="Home &amp; Kitchen"/>
    <x v="2"/>
    <n v="6"/>
    <n v="7.68"/>
  </r>
  <r>
    <s v="CUST0074"/>
    <n v="41"/>
    <x v="0"/>
    <s v="SA"/>
    <s v="Married"/>
    <s v="Bachelor's"/>
    <n v="38.069000000000003"/>
    <n v="32.976999999999997"/>
    <n v="44"/>
    <n v="749.48"/>
    <x v="0"/>
    <s v="Often"/>
    <s v="Home &amp; Kitchen"/>
    <x v="1"/>
    <n v="4"/>
    <n v="18.25"/>
  </r>
  <r>
    <s v="CUST0075"/>
    <n v="60"/>
    <x v="1"/>
    <s v="NSW"/>
    <s v="Single"/>
    <s v="Master's"/>
    <n v="37.618000000000002"/>
    <n v="44.139000000000003"/>
    <n v="80"/>
    <n v="1176.74"/>
    <x v="0"/>
    <s v="Often"/>
    <s v="Sports"/>
    <x v="0"/>
    <n v="5"/>
    <n v="29.7"/>
  </r>
  <r>
    <s v="CUST0076"/>
    <n v="34"/>
    <x v="1"/>
    <s v="NSW"/>
    <s v="Single"/>
    <s v="High School"/>
    <n v="230.821"/>
    <n v="24.19"/>
    <n v="20"/>
    <n v="4709.5"/>
    <x v="0"/>
    <s v="Sometimes"/>
    <s v="Beauty"/>
    <x v="1"/>
    <n v="3"/>
    <n v="30.29"/>
  </r>
  <r>
    <s v="CUST0077"/>
    <n v="48"/>
    <x v="2"/>
    <s v="NSW"/>
    <s v="Widowed"/>
    <s v="Bachelor's"/>
    <n v="231.83600000000001"/>
    <n v="11.8"/>
    <n v="38"/>
    <n v="310.52999999999997"/>
    <x v="1"/>
    <s v="Sometimes"/>
    <s v="Electronics"/>
    <x v="0"/>
    <n v="9"/>
    <n v="33.82"/>
  </r>
  <r>
    <s v="CUST0078"/>
    <n v="51"/>
    <x v="1"/>
    <s v="VIC"/>
    <s v="Single"/>
    <s v="High School"/>
    <n v="30.091000000000001"/>
    <n v="41.859000000000002"/>
    <n v="36"/>
    <n v="307.79000000000002"/>
    <x v="1"/>
    <s v="Sometimes"/>
    <s v="Sports"/>
    <x v="0"/>
    <n v="7"/>
    <n v="26.28"/>
  </r>
  <r>
    <s v="CUST0079"/>
    <n v="54"/>
    <x v="0"/>
    <s v="TAS"/>
    <s v="Single"/>
    <s v="High School"/>
    <n v="109.83"/>
    <n v="35.222999999999999"/>
    <n v="41"/>
    <n v="859.1"/>
    <x v="0"/>
    <s v="Sometimes"/>
    <s v="Home &amp; Kitchen"/>
    <x v="2"/>
    <n v="9"/>
    <n v="49.46"/>
  </r>
  <r>
    <s v="CUST0080"/>
    <n v="19"/>
    <x v="2"/>
    <s v="WA"/>
    <s v="Divorced"/>
    <s v="Bachelor's"/>
    <n v="49.853000000000002"/>
    <n v="58.381"/>
    <n v="83"/>
    <n v="703.39"/>
    <x v="1"/>
    <s v="Often"/>
    <s v="Electronics"/>
    <x v="1"/>
    <n v="10"/>
    <n v="39.4"/>
  </r>
  <r>
    <s v="CUST0081"/>
    <n v="27"/>
    <x v="1"/>
    <s v="NSW"/>
    <s v="Married"/>
    <s v="High School"/>
    <n v="143.62"/>
    <n v="33.25"/>
    <n v="74"/>
    <n v="1530.41"/>
    <x v="1"/>
    <s v="Rarely"/>
    <s v="Electronics"/>
    <x v="1"/>
    <n v="6"/>
    <n v="16.68"/>
  </r>
  <r>
    <s v="CUST0082"/>
    <n v="41"/>
    <x v="1"/>
    <s v="NT"/>
    <s v="Single"/>
    <s v="High School"/>
    <n v="65.734999999999999"/>
    <n v="70.576999999999998"/>
    <n v="99"/>
    <n v="547.11"/>
    <x v="1"/>
    <s v="Sometimes"/>
    <s v="Sports"/>
    <x v="0"/>
    <n v="10"/>
    <n v="44.69"/>
  </r>
  <r>
    <s v="CUST0083"/>
    <n v="58"/>
    <x v="0"/>
    <s v="VIC"/>
    <s v="Single"/>
    <s v="High School"/>
    <n v="78.692999999999998"/>
    <n v="37.936999999999998"/>
    <n v="44"/>
    <n v="263.45"/>
    <x v="0"/>
    <s v="Sometimes"/>
    <s v="Beauty"/>
    <x v="1"/>
    <n v="10"/>
    <n v="40.9"/>
  </r>
  <r>
    <s v="CUST0084"/>
    <n v="18"/>
    <x v="0"/>
    <s v="TAS"/>
    <s v="Married"/>
    <s v="PhD"/>
    <n v="46.521999999999998"/>
    <n v="83.709000000000003"/>
    <n v="45"/>
    <n v="1860.2"/>
    <x v="1"/>
    <s v="Sometimes"/>
    <s v="Clothing"/>
    <x v="1"/>
    <n v="6"/>
    <n v="24.44"/>
  </r>
  <r>
    <s v="CUST0085"/>
    <n v="21"/>
    <x v="1"/>
    <s v="WA"/>
    <s v="Widowed"/>
    <s v="High School"/>
    <n v="233.244"/>
    <n v="54.889000000000003"/>
    <n v="33"/>
    <n v="1663.3"/>
    <x v="1"/>
    <s v="Often"/>
    <s v="Clothing"/>
    <x v="1"/>
    <n v="3"/>
    <n v="14.32"/>
  </r>
  <r>
    <s v="CUST0086"/>
    <n v="38"/>
    <x v="0"/>
    <s v="ACT"/>
    <s v="Married"/>
    <s v="Master's"/>
    <n v="152.833"/>
    <n v="59.725999999999999"/>
    <n v="67"/>
    <n v="1025.48"/>
    <x v="1"/>
    <s v="Often"/>
    <s v="Sports"/>
    <x v="1"/>
    <n v="3"/>
    <n v="6.77"/>
  </r>
  <r>
    <s v="CUST0087"/>
    <n v="50"/>
    <x v="0"/>
    <s v="SA"/>
    <s v="Divorced"/>
    <s v="High School"/>
    <n v="96.225999999999999"/>
    <n v="32.404000000000003"/>
    <n v="18"/>
    <n v="274.61"/>
    <x v="1"/>
    <s v="Sometimes"/>
    <s v="Clothing"/>
    <x v="1"/>
    <n v="5"/>
    <n v="27.98"/>
  </r>
  <r>
    <s v="CUST0088"/>
    <n v="47"/>
    <x v="1"/>
    <s v="NT"/>
    <s v="Widowed"/>
    <s v="Bachelor's"/>
    <n v="221.05699999999999"/>
    <n v="67.697000000000003"/>
    <n v="38"/>
    <n v="780.41"/>
    <x v="1"/>
    <s v="Sometimes"/>
    <s v="Beauty"/>
    <x v="0"/>
    <n v="2"/>
    <n v="34.700000000000003"/>
  </r>
  <r>
    <s v="CUST0089"/>
    <n v="27"/>
    <x v="1"/>
    <s v="SA"/>
    <s v="Single"/>
    <s v="Bachelor's"/>
    <n v="189.149"/>
    <n v="73.944999999999993"/>
    <n v="90"/>
    <n v="1266.06"/>
    <x v="0"/>
    <s v="Rarely"/>
    <s v="Home &amp; Kitchen"/>
    <x v="1"/>
    <n v="1"/>
    <n v="17.45"/>
  </r>
  <r>
    <s v="CUST0090"/>
    <n v="58"/>
    <x v="1"/>
    <s v="WA"/>
    <s v="Married"/>
    <s v="Master's"/>
    <n v="114.294"/>
    <n v="43.927999999999997"/>
    <n v="49"/>
    <n v="294.82"/>
    <x v="1"/>
    <s v="Sometimes"/>
    <s v="Clothing"/>
    <x v="1"/>
    <n v="6"/>
    <n v="0.28000000000000003"/>
  </r>
  <r>
    <s v="CUST0091"/>
    <n v="52"/>
    <x v="0"/>
    <s v="TAS"/>
    <s v="Married"/>
    <s v="Bachelor's"/>
    <n v="102.874"/>
    <n v="61.006"/>
    <n v="63"/>
    <n v="968.35"/>
    <x v="1"/>
    <s v="Sometimes"/>
    <s v="Home &amp; Kitchen"/>
    <x v="0"/>
    <n v="5"/>
    <n v="6.28"/>
  </r>
  <r>
    <s v="CUST0092"/>
    <n v="51"/>
    <x v="0"/>
    <s v="NT"/>
    <s v="Single"/>
    <s v="High School"/>
    <n v="169.529"/>
    <n v="35.479999999999997"/>
    <n v="8"/>
    <n v="4435"/>
    <x v="1"/>
    <s v="Often"/>
    <s v="Home &amp; Kitchen"/>
    <x v="2"/>
    <n v="10"/>
    <n v="31.27"/>
  </r>
  <r>
    <s v="CUST0093"/>
    <n v="75"/>
    <x v="0"/>
    <s v="NSW"/>
    <s v="Widowed"/>
    <s v="Master's"/>
    <n v="84.978999999999999"/>
    <n v="68.980999999999995"/>
    <n v="49"/>
    <n v="2428.1799999999998"/>
    <x v="1"/>
    <s v="Often"/>
    <s v="Beauty"/>
    <x v="1"/>
    <n v="6"/>
    <n v="32.9"/>
  </r>
  <r>
    <s v="CUST0094"/>
    <n v="45"/>
    <x v="0"/>
    <s v="ACT"/>
    <s v="Married"/>
    <s v="Master's"/>
    <n v="210.44300000000001"/>
    <n v="43.146000000000001"/>
    <n v="20"/>
    <n v="2157.3000000000002"/>
    <x v="1"/>
    <s v="Rarely"/>
    <s v="Electronics"/>
    <x v="2"/>
    <n v="2"/>
    <n v="28.59"/>
  </r>
  <r>
    <s v="CUST0095"/>
    <n v="74"/>
    <x v="0"/>
    <s v="NT"/>
    <s v="Married"/>
    <s v="PhD"/>
    <n v="107.73"/>
    <n v="78.716999999999999"/>
    <n v="89"/>
    <n v="884.46"/>
    <x v="1"/>
    <s v="Rarely"/>
    <s v="Beauty"/>
    <x v="0"/>
    <n v="9"/>
    <n v="26.25"/>
  </r>
  <r>
    <s v="CUST0096"/>
    <n v="22"/>
    <x v="1"/>
    <s v="QLD"/>
    <s v="Single"/>
    <s v="Bachelor's"/>
    <n v="165.77699999999999"/>
    <n v="25.960999999999999"/>
    <n v="83"/>
    <n v="312.77999999999997"/>
    <x v="0"/>
    <s v="Often"/>
    <s v="Home &amp; Kitchen"/>
    <x v="2"/>
    <n v="9"/>
    <n v="40.65"/>
  </r>
  <r>
    <s v="CUST0097"/>
    <n v="58"/>
    <x v="1"/>
    <s v="TAS"/>
    <s v="Married"/>
    <s v="Bachelor's"/>
    <n v="109.21899999999999"/>
    <n v="84.213999999999999"/>
    <n v="26"/>
    <n v="3239"/>
    <x v="0"/>
    <s v="Sometimes"/>
    <s v="Clothing"/>
    <x v="2"/>
    <n v="8"/>
    <n v="38.22"/>
  </r>
  <r>
    <s v="CUST0098"/>
    <n v="23"/>
    <x v="1"/>
    <s v="TAS"/>
    <s v="Single"/>
    <s v="PhD"/>
    <n v="143.15299999999999"/>
    <n v="44.106999999999999"/>
    <n v="42"/>
    <n v="592.29999999999995"/>
    <x v="0"/>
    <s v="Often"/>
    <s v="Sports"/>
    <x v="0"/>
    <n v="2"/>
    <n v="28.47"/>
  </r>
  <r>
    <s v="CUST0099"/>
    <n v="55"/>
    <x v="1"/>
    <s v="NT"/>
    <s v="Single"/>
    <s v="Bachelor's"/>
    <n v="24.047000000000001"/>
    <n v="66.272000000000006"/>
    <n v="43"/>
    <n v="2471.44"/>
    <x v="1"/>
    <s v="Always"/>
    <s v="Home &amp; Kitchen"/>
    <x v="1"/>
    <n v="9"/>
    <n v="40.64"/>
  </r>
  <r>
    <s v="CUST0100"/>
    <n v="38"/>
    <x v="0"/>
    <s v="WA"/>
    <s v="Married"/>
    <s v="High School"/>
    <n v="177.928"/>
    <n v="61.655999999999999"/>
    <n v="46"/>
    <n v="422.3"/>
    <x v="1"/>
    <s v="Sometimes"/>
    <s v="Sports"/>
    <x v="2"/>
    <n v="5"/>
    <n v="14.32"/>
  </r>
  <r>
    <s v="CUST0101"/>
    <n v="18"/>
    <x v="1"/>
    <s v="QLD"/>
    <s v="Single"/>
    <s v="Bachelor's"/>
    <n v="163.55000000000001"/>
    <n v="62.750999999999998"/>
    <n v="30"/>
    <n v="482.7"/>
    <x v="1"/>
    <s v="Always"/>
    <s v="Beauty"/>
    <x v="0"/>
    <n v="4"/>
    <n v="42.2"/>
  </r>
  <r>
    <s v="CUST0102"/>
    <n v="24"/>
    <x v="1"/>
    <s v="TAS"/>
    <s v="Single"/>
    <s v="Master's"/>
    <n v="197.23500000000001"/>
    <n v="67.902000000000001"/>
    <n v="32"/>
    <n v="2121.94"/>
    <x v="0"/>
    <s v="Often"/>
    <s v="Clothing"/>
    <x v="0"/>
    <n v="3"/>
    <n v="35.36"/>
  </r>
  <r>
    <s v="CUST0103"/>
    <n v="68"/>
    <x v="0"/>
    <s v="NT"/>
    <s v="Divorced"/>
    <s v="PhD"/>
    <n v="185.613"/>
    <n v="26.847999999999999"/>
    <n v="6"/>
    <n v="4474.67"/>
    <x v="0"/>
    <s v="Sometimes"/>
    <s v="Sports"/>
    <x v="1"/>
    <n v="3"/>
    <n v="17.98"/>
  </r>
  <r>
    <s v="CUST0104"/>
    <n v="51"/>
    <x v="1"/>
    <s v="SA"/>
    <s v="Divorced"/>
    <s v="Bachelor's"/>
    <n v="138.477"/>
    <n v="70.77"/>
    <n v="85"/>
    <n v="832.59"/>
    <x v="0"/>
    <s v="Sometimes"/>
    <s v="Sports"/>
    <x v="0"/>
    <n v="1"/>
    <n v="26.27"/>
  </r>
  <r>
    <s v="CUST0105"/>
    <n v="49"/>
    <x v="0"/>
    <s v="SA"/>
    <s v="Married"/>
    <s v="Bachelor's"/>
    <n v="99.971000000000004"/>
    <n v="60.732999999999997"/>
    <n v="78"/>
    <n v="778.63"/>
    <x v="0"/>
    <s v="Sometimes"/>
    <s v="Beauty"/>
    <x v="2"/>
    <n v="1"/>
    <n v="25.51"/>
  </r>
  <r>
    <s v="CUST0106"/>
    <n v="56"/>
    <x v="1"/>
    <s v="VIC"/>
    <s v="Single"/>
    <s v="Master's"/>
    <n v="115.19499999999999"/>
    <n v="40.055"/>
    <n v="42"/>
    <n v="953.69"/>
    <x v="1"/>
    <s v="Sometimes"/>
    <s v="Electronics"/>
    <x v="2"/>
    <n v="5"/>
    <n v="36.020000000000003"/>
  </r>
  <r>
    <s v="CUST0107"/>
    <n v="57"/>
    <x v="1"/>
    <s v="VIC"/>
    <s v="Single"/>
    <s v="Bachelor's"/>
    <n v="202.62100000000001"/>
    <n v="105.56"/>
    <n v="42"/>
    <n v="2513.33"/>
    <x v="0"/>
    <s v="Always"/>
    <s v="Sports"/>
    <x v="0"/>
    <n v="10"/>
    <n v="35.54"/>
  </r>
  <r>
    <s v="CUST0108"/>
    <n v="50"/>
    <x v="0"/>
    <s v="VIC"/>
    <s v="Divorced"/>
    <s v="Bachelor's"/>
    <n v="74.245000000000005"/>
    <n v="76.233000000000004"/>
    <n v="5"/>
    <n v="15246.6"/>
    <x v="0"/>
    <s v="Sometimes"/>
    <s v="Electronics"/>
    <x v="1"/>
    <n v="10"/>
    <n v="30.81"/>
  </r>
  <r>
    <s v="CUST0109"/>
    <n v="51"/>
    <x v="0"/>
    <s v="NSW"/>
    <s v="Divorced"/>
    <s v="Bachelor's"/>
    <n v="125.464"/>
    <n v="66.096999999999994"/>
    <n v="60"/>
    <n v="1934.95"/>
    <x v="1"/>
    <s v="Sometimes"/>
    <s v="Clothing"/>
    <x v="0"/>
    <n v="5"/>
    <n v="1.36"/>
  </r>
  <r>
    <s v="CUST0110"/>
    <n v="19"/>
    <x v="1"/>
    <s v="NSW"/>
    <s v="Single"/>
    <s v="Bachelor's"/>
    <n v="216.803"/>
    <n v="23.646000000000001"/>
    <n v="14"/>
    <n v="207.42"/>
    <x v="0"/>
    <s v="Often"/>
    <s v="Clothing"/>
    <x v="1"/>
    <n v="2"/>
    <n v="4.16"/>
  </r>
  <r>
    <s v="CUST0111"/>
    <n v="63"/>
    <x v="1"/>
    <s v="TAS"/>
    <s v="Married"/>
    <s v="PhD"/>
    <n v="77.52"/>
    <n v="27.632999999999999"/>
    <n v="17"/>
    <n v="217.58"/>
    <x v="0"/>
    <s v="Often"/>
    <s v="Sports"/>
    <x v="2"/>
    <n v="6"/>
    <n v="30.55"/>
  </r>
  <r>
    <s v="CUST0112"/>
    <n v="73"/>
    <x v="1"/>
    <s v="SA"/>
    <s v="Widowed"/>
    <s v="Bachelor's"/>
    <n v="115.90600000000001"/>
    <n v="83.396000000000001"/>
    <n v="108"/>
    <n v="772.19"/>
    <x v="1"/>
    <s v="Rarely"/>
    <s v="Home &amp; Kitchen"/>
    <x v="0"/>
    <n v="6"/>
    <n v="11.52"/>
  </r>
  <r>
    <s v="CUST0113"/>
    <n v="49"/>
    <x v="1"/>
    <s v="NSW"/>
    <s v="Married"/>
    <s v="High School"/>
    <n v="125.682"/>
    <n v="56.95"/>
    <n v="75"/>
    <n v="759.33"/>
    <x v="0"/>
    <s v="Always"/>
    <s v="Beauty"/>
    <x v="2"/>
    <n v="5"/>
    <n v="39.07"/>
  </r>
  <r>
    <s v="CUST0114"/>
    <n v="18"/>
    <x v="1"/>
    <s v="NT"/>
    <s v="Divorced"/>
    <s v="PhD"/>
    <n v="23.722000000000001"/>
    <n v="25.79"/>
    <n v="52"/>
    <n v="495.96"/>
    <x v="0"/>
    <s v="Sometimes"/>
    <s v="Beauty"/>
    <x v="0"/>
    <n v="1"/>
    <n v="31.11"/>
  </r>
  <r>
    <s v="CUST0115"/>
    <n v="27"/>
    <x v="0"/>
    <s v="TAS"/>
    <s v="Single"/>
    <s v="Bachelor's"/>
    <n v="44.893000000000001"/>
    <n v="27.190999999999999"/>
    <n v="32"/>
    <n v="3349.72"/>
    <x v="0"/>
    <s v="Often"/>
    <s v="Clothing"/>
    <x v="1"/>
    <n v="7"/>
    <n v="18.3"/>
  </r>
  <r>
    <s v="CUST0116"/>
    <n v="63"/>
    <x v="0"/>
    <s v="SA"/>
    <s v="Single"/>
    <s v="Bachelor's"/>
    <n v="243.661"/>
    <n v="60.615000000000002"/>
    <n v="65"/>
    <n v="932.54"/>
    <x v="0"/>
    <s v="Rarely"/>
    <s v="Electronics"/>
    <x v="1"/>
    <n v="8"/>
    <n v="30.59"/>
  </r>
  <r>
    <s v="CUST0117"/>
    <n v="55"/>
    <x v="1"/>
    <s v="SA"/>
    <s v="Single"/>
    <s v="Bachelor's"/>
    <n v="180.673"/>
    <n v="16.399999999999999"/>
    <n v="57"/>
    <n v="287.72000000000003"/>
    <x v="1"/>
    <s v="Sometimes"/>
    <s v="Beauty"/>
    <x v="1"/>
    <n v="9"/>
    <n v="47.3"/>
  </r>
  <r>
    <s v="CUST0118"/>
    <n v="36"/>
    <x v="1"/>
    <s v="VIC"/>
    <s v="Married"/>
    <s v="High School"/>
    <n v="175.15299999999999"/>
    <n v="64.406000000000006"/>
    <n v="52"/>
    <n v="1238.58"/>
    <x v="1"/>
    <s v="Often"/>
    <s v="Home &amp; Kitchen"/>
    <x v="1"/>
    <n v="5"/>
    <n v="23.54"/>
  </r>
  <r>
    <s v="CUST0119"/>
    <n v="19"/>
    <x v="2"/>
    <s v="ACT"/>
    <s v="Married"/>
    <s v="Bachelor's"/>
    <n v="71.254999999999995"/>
    <n v="79.677999999999997"/>
    <n v="49"/>
    <n v="2034.24"/>
    <x v="1"/>
    <s v="Always"/>
    <s v="Clothing"/>
    <x v="2"/>
    <n v="7"/>
    <n v="37.21"/>
  </r>
  <r>
    <s v="CUST0120"/>
    <n v="58"/>
    <x v="1"/>
    <s v="ACT"/>
    <s v="Married"/>
    <s v="Master's"/>
    <n v="176.40899999999999"/>
    <n v="74.650999999999996"/>
    <n v="55"/>
    <n v="1357.29"/>
    <x v="0"/>
    <s v="Rarely"/>
    <s v="Clothing"/>
    <x v="2"/>
    <n v="9"/>
    <n v="3.82"/>
  </r>
  <r>
    <s v="CUST0121"/>
    <n v="69"/>
    <x v="0"/>
    <s v="NSW"/>
    <s v="Married"/>
    <s v="Bachelor's"/>
    <n v="67.55"/>
    <n v="86.753"/>
    <n v="107"/>
    <n v="633.23"/>
    <x v="1"/>
    <s v="Sometimes"/>
    <s v="Electronics"/>
    <x v="1"/>
    <n v="3"/>
    <n v="17.12"/>
  </r>
  <r>
    <s v="CUST0122"/>
    <n v="40"/>
    <x v="1"/>
    <s v="QLD"/>
    <s v="Single"/>
    <s v="Master's"/>
    <n v="168.607"/>
    <n v="31.524999999999999"/>
    <n v="13"/>
    <n v="985.68"/>
    <x v="0"/>
    <s v="Often"/>
    <s v="Sports"/>
    <x v="1"/>
    <n v="2"/>
    <n v="10.18"/>
  </r>
  <r>
    <s v="CUST0123"/>
    <n v="37"/>
    <x v="1"/>
    <s v="NSW"/>
    <s v="Single"/>
    <s v="Bachelor's"/>
    <n v="99.066999999999993"/>
    <n v="34.079000000000001"/>
    <n v="29"/>
    <n v="1175.1400000000001"/>
    <x v="0"/>
    <s v="Sometimes"/>
    <s v="Sports"/>
    <x v="1"/>
    <n v="7"/>
    <n v="36.22"/>
  </r>
  <r>
    <s v="CUST0124"/>
    <n v="69"/>
    <x v="1"/>
    <s v="NT"/>
    <s v="Married"/>
    <s v="Master's"/>
    <n v="113.72"/>
    <n v="9.74"/>
    <n v="10"/>
    <n v="81.17"/>
    <x v="1"/>
    <s v="Often"/>
    <s v="Beauty"/>
    <x v="1"/>
    <n v="7"/>
    <n v="6.8"/>
  </r>
  <r>
    <s v="CUST0125"/>
    <n v="29"/>
    <x v="1"/>
    <s v="TAS"/>
    <s v="Single"/>
    <s v="Master's"/>
    <n v="218.85300000000001"/>
    <n v="55.662999999999997"/>
    <n v="73"/>
    <n v="452.54"/>
    <x v="0"/>
    <s v="Sometimes"/>
    <s v="Beauty"/>
    <x v="1"/>
    <n v="9"/>
    <n v="39.090000000000003"/>
  </r>
  <r>
    <s v="CUST0126"/>
    <n v="73"/>
    <x v="0"/>
    <s v="ACT"/>
    <s v="Married"/>
    <s v="Bachelor's"/>
    <n v="237.15700000000001"/>
    <n v="58.087000000000003"/>
    <n v="89"/>
    <n v="652.66"/>
    <x v="0"/>
    <s v="Rarely"/>
    <s v="Clothing"/>
    <x v="1"/>
    <n v="7"/>
    <n v="12.43"/>
  </r>
  <r>
    <s v="CUST0127"/>
    <n v="46"/>
    <x v="0"/>
    <s v="WA"/>
    <s v="Married"/>
    <s v="Bachelor's"/>
    <n v="110.709"/>
    <n v="45.101999999999997"/>
    <n v="11"/>
    <n v="446.55"/>
    <x v="1"/>
    <s v="Sometimes"/>
    <s v="Sports"/>
    <x v="1"/>
    <n v="2"/>
    <n v="6.35"/>
  </r>
  <r>
    <s v="CUST0128"/>
    <n v="37"/>
    <x v="1"/>
    <s v="NT"/>
    <s v="Married"/>
    <s v="Master's"/>
    <n v="132.91800000000001"/>
    <n v="54.357999999999997"/>
    <n v="46"/>
    <n v="1181.7"/>
    <x v="0"/>
    <s v="Often"/>
    <s v="Home &amp; Kitchen"/>
    <x v="2"/>
    <n v="1"/>
    <n v="24.07"/>
  </r>
  <r>
    <s v="CUST0129"/>
    <n v="64"/>
    <x v="0"/>
    <s v="QLD"/>
    <s v="Single"/>
    <s v="Bachelor's"/>
    <n v="177.18199999999999"/>
    <n v="72.251999999999995"/>
    <n v="101"/>
    <n v="1111.4100000000001"/>
    <x v="0"/>
    <s v="Sometimes"/>
    <s v="Electronics"/>
    <x v="0"/>
    <n v="4"/>
    <n v="42.47"/>
  </r>
  <r>
    <s v="CUST0130"/>
    <n v="72"/>
    <x v="1"/>
    <s v="ACT"/>
    <s v="Married"/>
    <s v="Master's"/>
    <n v="193.453"/>
    <n v="16.61"/>
    <n v="15"/>
    <n v="158.19"/>
    <x v="1"/>
    <s v="Sometimes"/>
    <s v="Clothing"/>
    <x v="2"/>
    <n v="1"/>
    <n v="33.19"/>
  </r>
  <r>
    <s v="CUST0131"/>
    <n v="24"/>
    <x v="2"/>
    <s v="SA"/>
    <s v="Single"/>
    <s v="Master's"/>
    <n v="46.527000000000001"/>
    <n v="21.760999999999999"/>
    <n v="85"/>
    <n v="256.01"/>
    <x v="0"/>
    <s v="Rarely"/>
    <s v="Sports"/>
    <x v="1"/>
    <n v="6"/>
    <n v="3.4"/>
  </r>
  <r>
    <s v="CUST0132"/>
    <n v="40"/>
    <x v="1"/>
    <s v="TAS"/>
    <s v="Single"/>
    <s v="Bachelor's"/>
    <n v="86.64"/>
    <n v="79.548000000000002"/>
    <n v="27"/>
    <n v="2946.22"/>
    <x v="0"/>
    <s v="Rarely"/>
    <s v="Home &amp; Kitchen"/>
    <x v="1"/>
    <n v="8"/>
    <n v="23.58"/>
  </r>
  <r>
    <s v="CUST0133"/>
    <n v="33"/>
    <x v="0"/>
    <s v="ACT"/>
    <s v="Married"/>
    <s v="Master's"/>
    <n v="246.64699999999999"/>
    <n v="29.475999999999999"/>
    <n v="55"/>
    <n v="535.92999999999995"/>
    <x v="1"/>
    <s v="Sometimes"/>
    <s v="Clothing"/>
    <x v="1"/>
    <n v="9"/>
    <n v="4.42"/>
  </r>
  <r>
    <s v="CUST0134"/>
    <n v="27"/>
    <x v="0"/>
    <s v="VIC"/>
    <s v="Single"/>
    <s v="High School"/>
    <n v="238.84899999999999"/>
    <n v="16.651"/>
    <n v="87"/>
    <n v="1225.8699999999999"/>
    <x v="1"/>
    <s v="Rarely"/>
    <s v="Beauty"/>
    <x v="0"/>
    <n v="6"/>
    <n v="17.22"/>
  </r>
  <r>
    <s v="CUST0135"/>
    <n v="55"/>
    <x v="1"/>
    <s v="NT"/>
    <s v="Single"/>
    <s v="Bachelor's"/>
    <n v="144.952"/>
    <n v="39.646999999999998"/>
    <n v="46"/>
    <n v="271.55"/>
    <x v="1"/>
    <s v="Often"/>
    <s v="Clothing"/>
    <x v="2"/>
    <n v="3"/>
    <n v="43.86"/>
  </r>
  <r>
    <s v="CUST0136"/>
    <n v="68"/>
    <x v="1"/>
    <s v="VIC"/>
    <s v="Single"/>
    <s v="Master's"/>
    <n v="27.215"/>
    <n v="69.522999999999996"/>
    <n v="81"/>
    <n v="858.31"/>
    <x v="1"/>
    <s v="Always"/>
    <s v="Electronics"/>
    <x v="1"/>
    <n v="6"/>
    <n v="18.16"/>
  </r>
  <r>
    <s v="CUST0137"/>
    <n v="71"/>
    <x v="0"/>
    <s v="TAS"/>
    <s v="Widowed"/>
    <s v="Bachelor's"/>
    <n v="158.88900000000001"/>
    <n v="76.668000000000006"/>
    <n v="68"/>
    <n v="1127.47"/>
    <x v="0"/>
    <s v="Sometimes"/>
    <s v="Home &amp; Kitchen"/>
    <x v="1"/>
    <n v="1"/>
    <n v="45.01"/>
  </r>
  <r>
    <s v="CUST0138"/>
    <n v="47"/>
    <x v="1"/>
    <s v="SA"/>
    <s v="Divorced"/>
    <s v="Master's"/>
    <n v="70.962000000000003"/>
    <n v="137.63999999999999"/>
    <n v="87"/>
    <n v="1352.18"/>
    <x v="0"/>
    <s v="Often"/>
    <s v="Clothing"/>
    <x v="1"/>
    <n v="2"/>
    <n v="13.46"/>
  </r>
  <r>
    <s v="CUST0139"/>
    <n v="48"/>
    <x v="0"/>
    <s v="SA"/>
    <s v="Married"/>
    <s v="Bachelor's"/>
    <n v="219.61500000000001"/>
    <n v="63.89"/>
    <n v="73"/>
    <n v="875.21"/>
    <x v="1"/>
    <s v="Sometimes"/>
    <s v="Clothing"/>
    <x v="1"/>
    <n v="1"/>
    <n v="0.96"/>
  </r>
  <r>
    <s v="CUST0140"/>
    <n v="62"/>
    <x v="1"/>
    <s v="TAS"/>
    <s v="Married"/>
    <s v="Bachelor's"/>
    <n v="189.904"/>
    <n v="72.155000000000001"/>
    <n v="106"/>
    <n v="680.71"/>
    <x v="0"/>
    <s v="Sometimes"/>
    <s v="Beauty"/>
    <x v="1"/>
    <n v="7"/>
    <n v="21.66"/>
  </r>
  <r>
    <s v="CUST0141"/>
    <n v="55"/>
    <x v="1"/>
    <s v="TAS"/>
    <s v="Single"/>
    <s v="Bachelor's"/>
    <n v="29.731000000000002"/>
    <n v="30.177"/>
    <n v="26"/>
    <n v="1160.6500000000001"/>
    <x v="0"/>
    <s v="Rarely"/>
    <s v="Clothing"/>
    <x v="0"/>
    <n v="10"/>
    <n v="44.01"/>
  </r>
  <r>
    <s v="CUST0142"/>
    <n v="25"/>
    <x v="1"/>
    <s v="TAS"/>
    <s v="Married"/>
    <s v="Master's"/>
    <n v="117.367"/>
    <n v="49.253"/>
    <n v="39"/>
    <n v="1262.9000000000001"/>
    <x v="0"/>
    <s v="Sometimes"/>
    <s v="Sports"/>
    <x v="1"/>
    <n v="1"/>
    <n v="18.489999999999998"/>
  </r>
  <r>
    <s v="CUST0143"/>
    <n v="70"/>
    <x v="1"/>
    <s v="TAS"/>
    <s v="Divorced"/>
    <s v="Master's"/>
    <n v="104.667"/>
    <n v="85.275999999999996"/>
    <n v="105"/>
    <n v="631.66999999999996"/>
    <x v="1"/>
    <s v="Rarely"/>
    <s v="Clothing"/>
    <x v="2"/>
    <n v="10"/>
    <n v="2.58"/>
  </r>
  <r>
    <s v="CUST0144"/>
    <n v="34"/>
    <x v="0"/>
    <s v="ACT"/>
    <s v="Widowed"/>
    <s v="Bachelor's"/>
    <n v="206.68600000000001"/>
    <n v="45.779000000000003"/>
    <n v="51"/>
    <n v="897.63"/>
    <x v="0"/>
    <s v="Often"/>
    <s v="Sports"/>
    <x v="0"/>
    <n v="10"/>
    <n v="10.42"/>
  </r>
  <r>
    <s v="CUST0145"/>
    <n v="35"/>
    <x v="0"/>
    <s v="TAS"/>
    <s v="Single"/>
    <s v="Bachelor's"/>
    <n v="104.086"/>
    <n v="56.048000000000002"/>
    <n v="67"/>
    <n v="479.04"/>
    <x v="0"/>
    <s v="Always"/>
    <s v="Clothing"/>
    <x v="1"/>
    <n v="9"/>
    <n v="0.95"/>
  </r>
  <r>
    <s v="CUST0146"/>
    <n v="22"/>
    <x v="0"/>
    <s v="NT"/>
    <s v="Married"/>
    <s v="Master's"/>
    <n v="84.432000000000002"/>
    <n v="40.249000000000002"/>
    <n v="45"/>
    <n v="894.42"/>
    <x v="0"/>
    <s v="Often"/>
    <s v="Home &amp; Kitchen"/>
    <x v="1"/>
    <n v="8"/>
    <n v="48.12"/>
  </r>
  <r>
    <s v="CUST0147"/>
    <n v="61"/>
    <x v="1"/>
    <s v="ACT"/>
    <s v="Married"/>
    <s v="Master's"/>
    <n v="127.303"/>
    <n v="88.394000000000005"/>
    <n v="24"/>
    <n v="3683.08"/>
    <x v="1"/>
    <s v="Sometimes"/>
    <s v="Electronics"/>
    <x v="2"/>
    <n v="6"/>
    <n v="30.72"/>
  </r>
  <r>
    <s v="CUST0148"/>
    <n v="70"/>
    <x v="0"/>
    <s v="SA"/>
    <s v="Single"/>
    <s v="Bachelor's"/>
    <n v="75.786000000000001"/>
    <n v="49.506"/>
    <n v="37"/>
    <n v="1023.42"/>
    <x v="1"/>
    <s v="Rarely"/>
    <s v="Clothing"/>
    <x v="1"/>
    <n v="10"/>
    <n v="29.08"/>
  </r>
  <r>
    <s v="CUST0149"/>
    <n v="35"/>
    <x v="1"/>
    <s v="NSW"/>
    <s v="Single"/>
    <s v="Bachelor's"/>
    <n v="239.65600000000001"/>
    <n v="62.095999999999997"/>
    <n v="76"/>
    <n v="1474.95"/>
    <x v="1"/>
    <s v="Often"/>
    <s v="Home &amp; Kitchen"/>
    <x v="1"/>
    <n v="4"/>
    <n v="26.95"/>
  </r>
  <r>
    <s v="CUST0150"/>
    <n v="44"/>
    <x v="1"/>
    <s v="TAS"/>
    <s v="Married"/>
    <s v="Bachelor's"/>
    <n v="144.75"/>
    <n v="92.180999999999997"/>
    <n v="9"/>
    <n v="10242.33"/>
    <x v="0"/>
    <s v="Rarely"/>
    <s v="Electronics"/>
    <x v="1"/>
    <n v="10"/>
    <n v="39.64"/>
  </r>
  <r>
    <s v="CUST0151"/>
    <n v="57"/>
    <x v="0"/>
    <s v="NT"/>
    <s v="Single"/>
    <s v="Master's"/>
    <n v="236.499"/>
    <n v="45.167000000000002"/>
    <n v="31"/>
    <n v="1457"/>
    <x v="1"/>
    <s v="Sometimes"/>
    <s v="Sports"/>
    <x v="1"/>
    <n v="7"/>
    <n v="8.81"/>
  </r>
  <r>
    <s v="CUST0152"/>
    <n v="58"/>
    <x v="0"/>
    <s v="VIC"/>
    <s v="Single"/>
    <s v="Bachelor's"/>
    <n v="139.596"/>
    <n v="86.382999999999996"/>
    <n v="34"/>
    <n v="2540.6799999999998"/>
    <x v="1"/>
    <s v="Always"/>
    <s v="Beauty"/>
    <x v="0"/>
    <n v="8"/>
    <n v="4.95"/>
  </r>
  <r>
    <s v="CUST0153"/>
    <n v="34"/>
    <x v="1"/>
    <s v="QLD"/>
    <s v="Single"/>
    <s v="Master's"/>
    <n v="46.567"/>
    <n v="29.419"/>
    <n v="47"/>
    <n v="625.94000000000005"/>
    <x v="1"/>
    <s v="Often"/>
    <s v="Sports"/>
    <x v="0"/>
    <n v="4"/>
    <n v="48.42"/>
  </r>
  <r>
    <s v="CUST0154"/>
    <n v="34"/>
    <x v="1"/>
    <s v="SA"/>
    <s v="Single"/>
    <s v="Bachelor's"/>
    <n v="210.56899999999999"/>
    <n v="70.506"/>
    <n v="78"/>
    <n v="652.83000000000004"/>
    <x v="0"/>
    <s v="Sometimes"/>
    <s v="Sports"/>
    <x v="1"/>
    <n v="2"/>
    <n v="33.869999999999997"/>
  </r>
  <r>
    <s v="CUST0155"/>
    <n v="40"/>
    <x v="1"/>
    <s v="TAS"/>
    <s v="Divorced"/>
    <s v="Bachelor's"/>
    <n v="156.935"/>
    <n v="93.763999999999996"/>
    <n v="101"/>
    <n v="928.36"/>
    <x v="1"/>
    <s v="Sometimes"/>
    <s v="Beauty"/>
    <x v="1"/>
    <n v="9"/>
    <n v="8.09"/>
  </r>
  <r>
    <s v="CUST0156"/>
    <n v="40"/>
    <x v="0"/>
    <s v="WA"/>
    <s v="Married"/>
    <s v="High School"/>
    <n v="136.179"/>
    <n v="6.0190000000000001"/>
    <n v="51"/>
    <n v="118.02"/>
    <x v="0"/>
    <s v="Rarely"/>
    <s v="Sports"/>
    <x v="0"/>
    <n v="5"/>
    <n v="35.85"/>
  </r>
  <r>
    <s v="CUST0157"/>
    <n v="62"/>
    <x v="1"/>
    <s v="SA"/>
    <s v="Married"/>
    <s v="High School"/>
    <n v="102.38200000000001"/>
    <n v="87.414000000000001"/>
    <n v="108"/>
    <n v="809.39"/>
    <x v="0"/>
    <s v="Sometimes"/>
    <s v="Clothing"/>
    <x v="0"/>
    <n v="8"/>
    <n v="39.96"/>
  </r>
  <r>
    <s v="CUST0158"/>
    <n v="25"/>
    <x v="1"/>
    <s v="ACT"/>
    <s v="Married"/>
    <s v="Master's"/>
    <n v="132.964"/>
    <n v="61.896000000000001"/>
    <n v="50"/>
    <n v="412.64"/>
    <x v="0"/>
    <s v="Rarely"/>
    <s v="Beauty"/>
    <x v="1"/>
    <n v="2"/>
    <n v="7.39"/>
  </r>
  <r>
    <s v="CUST0159"/>
    <n v="51"/>
    <x v="0"/>
    <s v="QLD"/>
    <s v="Married"/>
    <s v="Bachelor's"/>
    <n v="108.81"/>
    <n v="80.953999999999994"/>
    <n v="10"/>
    <n v="8095.4"/>
    <x v="1"/>
    <s v="Sometimes"/>
    <s v="Clothing"/>
    <x v="2"/>
    <n v="10"/>
    <n v="17.54"/>
  </r>
  <r>
    <s v="CUST0160"/>
    <n v="21"/>
    <x v="0"/>
    <s v="QLD"/>
    <s v="Single"/>
    <s v="Master's"/>
    <n v="75.037999999999997"/>
    <n v="41.207999999999998"/>
    <n v="30"/>
    <n v="1373.6"/>
    <x v="1"/>
    <s v="Sometimes"/>
    <s v="Home &amp; Kitchen"/>
    <x v="0"/>
    <n v="1"/>
    <n v="3.66"/>
  </r>
  <r>
    <s v="CUST0161"/>
    <n v="24"/>
    <x v="0"/>
    <s v="NSW"/>
    <s v="Married"/>
    <s v="Bachelor's"/>
    <n v="31.196000000000002"/>
    <n v="18.265000000000001"/>
    <n v="64"/>
    <n v="285.39"/>
    <x v="1"/>
    <s v="Rarely"/>
    <s v="Beauty"/>
    <x v="1"/>
    <n v="3"/>
    <n v="9.8699999999999992"/>
  </r>
  <r>
    <s v="CUST0162"/>
    <n v="31"/>
    <x v="1"/>
    <s v="VIC"/>
    <s v="Single"/>
    <s v="PhD"/>
    <n v="172.89500000000001"/>
    <n v="55.404000000000003"/>
    <n v="60"/>
    <n v="923.4"/>
    <x v="0"/>
    <s v="Sometimes"/>
    <s v="Sports"/>
    <x v="2"/>
    <n v="6"/>
    <n v="27.69"/>
  </r>
  <r>
    <s v="CUST0163"/>
    <n v="73"/>
    <x v="0"/>
    <s v="TAS"/>
    <s v="Divorced"/>
    <s v="High School"/>
    <n v="245.07599999999999"/>
    <n v="61.651000000000003"/>
    <n v="62"/>
    <n v="994.37"/>
    <x v="0"/>
    <s v="Sometimes"/>
    <s v="Home &amp; Kitchen"/>
    <x v="2"/>
    <n v="4"/>
    <n v="46.75"/>
  </r>
  <r>
    <s v="CUST0164"/>
    <n v="66"/>
    <x v="1"/>
    <s v="SA"/>
    <s v="Married"/>
    <s v="Bachelor's"/>
    <n v="233.58799999999999"/>
    <n v="83.631"/>
    <n v="78"/>
    <n v="1072.19"/>
    <x v="1"/>
    <s v="Always"/>
    <s v="Sports"/>
    <x v="0"/>
    <n v="7"/>
    <n v="28.99"/>
  </r>
  <r>
    <s v="CUST0165"/>
    <n v="60"/>
    <x v="0"/>
    <s v="VIC"/>
    <s v="Married"/>
    <s v="High School"/>
    <n v="167.83500000000001"/>
    <n v="134.34700000000001"/>
    <n v="62"/>
    <n v="553.98"/>
    <x v="0"/>
    <s v="Sometimes"/>
    <s v="Beauty"/>
    <x v="0"/>
    <n v="8"/>
    <n v="9.48"/>
  </r>
  <r>
    <s v="CUST0166"/>
    <n v="48"/>
    <x v="1"/>
    <s v="NSW"/>
    <s v="Married"/>
    <s v="Master's"/>
    <n v="185.78800000000001"/>
    <n v="26.457999999999998"/>
    <n v="11"/>
    <n v="2405.27"/>
    <x v="0"/>
    <s v="Often"/>
    <s v="Electronics"/>
    <x v="1"/>
    <n v="3"/>
    <n v="18.38"/>
  </r>
  <r>
    <s v="CUST0167"/>
    <n v="75"/>
    <x v="1"/>
    <s v="NT"/>
    <s v="Married"/>
    <s v="Bachelor's"/>
    <n v="148.39599999999999"/>
    <n v="61.62"/>
    <n v="70"/>
    <n v="560.17999999999995"/>
    <x v="0"/>
    <s v="Rarely"/>
    <s v="Clothing"/>
    <x v="1"/>
    <n v="8"/>
    <n v="0.64"/>
  </r>
  <r>
    <s v="CUST0168"/>
    <n v="45"/>
    <x v="0"/>
    <s v="WA"/>
    <s v="Married"/>
    <s v="Bachelor's"/>
    <n v="67.692999999999998"/>
    <n v="26.295999999999999"/>
    <n v="7"/>
    <n v="13756.57"/>
    <x v="0"/>
    <s v="Sometimes"/>
    <s v="Home &amp; Kitchen"/>
    <x v="0"/>
    <n v="1"/>
    <n v="13.09"/>
  </r>
  <r>
    <s v="CUST0169"/>
    <n v="58"/>
    <x v="0"/>
    <s v="WA"/>
    <s v="Single"/>
    <s v="Bachelor's"/>
    <n v="135.69300000000001"/>
    <n v="39.817"/>
    <n v="25"/>
    <n v="798.54"/>
    <x v="1"/>
    <s v="Sometimes"/>
    <s v="Beauty"/>
    <x v="1"/>
    <n v="8"/>
    <n v="5.94"/>
  </r>
  <r>
    <s v="CUST0170"/>
    <n v="56"/>
    <x v="1"/>
    <s v="NT"/>
    <s v="Single"/>
    <s v="High School"/>
    <n v="84.543000000000006"/>
    <n v="88.3"/>
    <n v="64"/>
    <n v="1379.69"/>
    <x v="1"/>
    <s v="Sometimes"/>
    <s v="Clothing"/>
    <x v="0"/>
    <n v="5"/>
    <n v="12.94"/>
  </r>
  <r>
    <s v="CUST0171"/>
    <n v="37"/>
    <x v="1"/>
    <s v="WA"/>
    <s v="Single"/>
    <s v="Bachelor's"/>
    <n v="244.98699999999999"/>
    <n v="78.733000000000004"/>
    <n v="90"/>
    <n v="874.81"/>
    <x v="0"/>
    <s v="Sometimes"/>
    <s v="Beauty"/>
    <x v="0"/>
    <n v="9"/>
    <n v="32.119999999999997"/>
  </r>
  <r>
    <s v="CUST0172"/>
    <n v="69"/>
    <x v="1"/>
    <s v="SA"/>
    <s v="Married"/>
    <s v="Master's"/>
    <n v="141.393"/>
    <n v="28.933"/>
    <n v="37"/>
    <n v="3214.41"/>
    <x v="1"/>
    <s v="Sometimes"/>
    <s v="Clothing"/>
    <x v="1"/>
    <n v="8"/>
    <n v="23.15"/>
  </r>
  <r>
    <s v="CUST0173"/>
    <n v="52"/>
    <x v="0"/>
    <s v="NSW"/>
    <s v="Single"/>
    <s v="Bachelor's"/>
    <n v="79.78"/>
    <n v="73.225999999999999"/>
    <n v="59"/>
    <n v="1241.1199999999999"/>
    <x v="0"/>
    <s v="Sometimes"/>
    <s v="Electronics"/>
    <x v="1"/>
    <n v="7"/>
    <n v="29.81"/>
  </r>
  <r>
    <s v="CUST0174"/>
    <n v="56"/>
    <x v="0"/>
    <s v="WA"/>
    <s v="Single"/>
    <s v="High School"/>
    <n v="166.726"/>
    <n v="49.207000000000001"/>
    <n v="32"/>
    <n v="1064.3499999999999"/>
    <x v="0"/>
    <s v="Sometimes"/>
    <s v="Beauty"/>
    <x v="2"/>
    <n v="2"/>
    <n v="25.65"/>
  </r>
  <r>
    <s v="CUST0175"/>
    <n v="75"/>
    <x v="0"/>
    <s v="ACT"/>
    <s v="Married"/>
    <s v="Bachelor's"/>
    <n v="157.214"/>
    <n v="31.866"/>
    <n v="92"/>
    <n v="346.37"/>
    <x v="0"/>
    <s v="Rarely"/>
    <s v="Home &amp; Kitchen"/>
    <x v="0"/>
    <n v="3"/>
    <n v="24.44"/>
  </r>
  <r>
    <s v="CUST0176"/>
    <n v="57"/>
    <x v="1"/>
    <s v="TAS"/>
    <s v="Single"/>
    <s v="Bachelor's"/>
    <n v="69.619"/>
    <n v="7.6269999999999998"/>
    <n v="27"/>
    <n v="60.06"/>
    <x v="0"/>
    <s v="Sometimes"/>
    <s v="Clothing"/>
    <x v="0"/>
    <n v="5"/>
    <n v="7.15"/>
  </r>
  <r>
    <s v="CUST0177"/>
    <n v="61"/>
    <x v="1"/>
    <s v="WA"/>
    <s v="Widowed"/>
    <s v="Master's"/>
    <n v="43.337000000000003"/>
    <n v="5.6929999999999996"/>
    <n v="81"/>
    <n v="70.28"/>
    <x v="0"/>
    <s v="Sometimes"/>
    <s v="Electronics"/>
    <x v="2"/>
    <n v="10"/>
    <n v="25.01"/>
  </r>
  <r>
    <s v="CUST0178"/>
    <n v="75"/>
    <x v="1"/>
    <s v="NT"/>
    <s v="Married"/>
    <s v="High School"/>
    <n v="247.73500000000001"/>
    <n v="45.558999999999997"/>
    <n v="82"/>
    <n v="1165.3499999999999"/>
    <x v="0"/>
    <s v="Rarely"/>
    <s v="Home &amp; Kitchen"/>
    <x v="1"/>
    <n v="1"/>
    <n v="4.84"/>
  </r>
  <r>
    <s v="CUST0179"/>
    <n v="69"/>
    <x v="1"/>
    <s v="SA"/>
    <s v="Married"/>
    <s v="Master's"/>
    <n v="65.88"/>
    <n v="40.588000000000001"/>
    <n v="73"/>
    <n v="556"/>
    <x v="0"/>
    <s v="Always"/>
    <s v="Home &amp; Kitchen"/>
    <x v="0"/>
    <n v="2"/>
    <n v="49.98"/>
  </r>
  <r>
    <s v="CUST0180"/>
    <n v="34"/>
    <x v="1"/>
    <s v="QLD"/>
    <s v="Married"/>
    <s v="Bachelor's"/>
    <n v="188.19300000000001"/>
    <n v="74.736000000000004"/>
    <n v="51"/>
    <n v="2249.73"/>
    <x v="0"/>
    <s v="Rarely"/>
    <s v="Beauty"/>
    <x v="2"/>
    <n v="4"/>
    <n v="43.38"/>
  </r>
  <r>
    <s v="CUST0181"/>
    <n v="20"/>
    <x v="0"/>
    <s v="NSW"/>
    <s v="Married"/>
    <s v="Bachelor's"/>
    <n v="155.428"/>
    <n v="42.247999999999998"/>
    <n v="66"/>
    <n v="640.12"/>
    <x v="1"/>
    <s v="Rarely"/>
    <s v="Clothing"/>
    <x v="0"/>
    <n v="1"/>
    <n v="27.38"/>
  </r>
  <r>
    <s v="CUST0182"/>
    <n v="19"/>
    <x v="1"/>
    <s v="ACT"/>
    <s v="Single"/>
    <s v="High School"/>
    <n v="201.22"/>
    <n v="44.661999999999999"/>
    <n v="39"/>
    <n v="752.96"/>
    <x v="0"/>
    <s v="Often"/>
    <s v="Electronics"/>
    <x v="2"/>
    <n v="7"/>
    <n v="4.24"/>
  </r>
  <r>
    <s v="CUST0183"/>
    <n v="71"/>
    <x v="0"/>
    <s v="NSW"/>
    <s v="Divorced"/>
    <s v="Master's"/>
    <n v="176.78700000000001"/>
    <n v="45.543999999999997"/>
    <n v="30"/>
    <n v="350.34"/>
    <x v="1"/>
    <s v="Often"/>
    <s v="Sports"/>
    <x v="1"/>
    <n v="1"/>
    <n v="32.19"/>
  </r>
  <r>
    <s v="CUST0184"/>
    <n v="37"/>
    <x v="1"/>
    <s v="TAS"/>
    <s v="Divorced"/>
    <s v="Master's"/>
    <n v="60.143999999999998"/>
    <n v="16.702999999999999"/>
    <n v="33"/>
    <n v="506.15"/>
    <x v="0"/>
    <s v="Sometimes"/>
    <s v="Home &amp; Kitchen"/>
    <x v="1"/>
    <n v="6"/>
    <n v="39.909999999999997"/>
  </r>
  <r>
    <s v="CUST0185"/>
    <n v="31"/>
    <x v="0"/>
    <s v="QLD"/>
    <s v="Married"/>
    <s v="PhD"/>
    <n v="113.27500000000001"/>
    <n v="31.026"/>
    <n v="44"/>
    <n v="298.33"/>
    <x v="0"/>
    <s v="Sometimes"/>
    <s v="Electronics"/>
    <x v="1"/>
    <n v="2"/>
    <n v="7.33"/>
  </r>
  <r>
    <s v="CUST0186"/>
    <n v="63"/>
    <x v="0"/>
    <s v="TAS"/>
    <s v="Single"/>
    <s v="High School"/>
    <n v="27.63"/>
    <n v="75.802000000000007"/>
    <n v="90"/>
    <n v="842.24"/>
    <x v="1"/>
    <s v="Rarely"/>
    <s v="Sports"/>
    <x v="0"/>
    <n v="8"/>
    <n v="16.32"/>
  </r>
  <r>
    <s v="CUST0187"/>
    <n v="32"/>
    <x v="0"/>
    <s v="QLD"/>
    <s v="Married"/>
    <s v="Master's"/>
    <n v="119.226"/>
    <n v="56.418999999999997"/>
    <n v="63"/>
    <n v="1371.73"/>
    <x v="0"/>
    <s v="Sometimes"/>
    <s v="Electronics"/>
    <x v="2"/>
    <n v="2"/>
    <n v="48.25"/>
  </r>
  <r>
    <s v="CUST0188"/>
    <n v="72"/>
    <x v="1"/>
    <s v="NT"/>
    <s v="Widowed"/>
    <s v="Master's"/>
    <n v="122.98399999999999"/>
    <n v="85.94"/>
    <n v="55"/>
    <n v="1562.55"/>
    <x v="1"/>
    <s v="Often"/>
    <s v="Sports"/>
    <x v="1"/>
    <n v="1"/>
    <n v="40.25"/>
  </r>
  <r>
    <s v="CUST0189"/>
    <n v="71"/>
    <x v="0"/>
    <s v="NT"/>
    <s v="Married"/>
    <s v="Master's"/>
    <n v="168.214"/>
    <n v="11.473000000000001"/>
    <n v="32"/>
    <n v="3483.53"/>
    <x v="1"/>
    <s v="Sometimes"/>
    <s v="Electronics"/>
    <x v="0"/>
    <n v="6"/>
    <n v="1.44"/>
  </r>
  <r>
    <s v="CUST0190"/>
    <n v="28"/>
    <x v="0"/>
    <s v="NT"/>
    <s v="Single"/>
    <s v="PhD"/>
    <n v="87.096000000000004"/>
    <n v="53.555999999999997"/>
    <n v="70"/>
    <n v="535.55999999999995"/>
    <x v="0"/>
    <s v="Sometimes"/>
    <s v="Home &amp; Kitchen"/>
    <x v="0"/>
    <n v="4"/>
    <n v="38.72"/>
  </r>
  <r>
    <s v="CUST0191"/>
    <n v="58"/>
    <x v="0"/>
    <s v="VIC"/>
    <s v="Single"/>
    <s v="Bachelor's"/>
    <n v="190.64599999999999"/>
    <n v="32.177"/>
    <n v="24"/>
    <n v="1340.71"/>
    <x v="0"/>
    <s v="Always"/>
    <s v="Beauty"/>
    <x v="1"/>
    <n v="5"/>
    <n v="9.57"/>
  </r>
  <r>
    <s v="CUST0192"/>
    <n v="28"/>
    <x v="1"/>
    <s v="WA"/>
    <s v="Married"/>
    <s v="Bachelor's"/>
    <n v="107.86199999999999"/>
    <n v="21.138000000000002"/>
    <n v="18"/>
    <n v="142.82"/>
    <x v="1"/>
    <s v="Often"/>
    <s v="Electronics"/>
    <x v="1"/>
    <n v="4"/>
    <n v="26.65"/>
  </r>
  <r>
    <s v="CUST0193"/>
    <n v="63"/>
    <x v="0"/>
    <s v="SA"/>
    <s v="Married"/>
    <s v="High School"/>
    <n v="234.42599999999999"/>
    <n v="15.818"/>
    <n v="63"/>
    <n v="251.08"/>
    <x v="1"/>
    <s v="Often"/>
    <s v="Home &amp; Kitchen"/>
    <x v="1"/>
    <n v="6"/>
    <n v="3.27"/>
  </r>
  <r>
    <s v="CUST0194"/>
    <n v="51"/>
    <x v="1"/>
    <s v="VIC"/>
    <s v="Single"/>
    <s v="High School"/>
    <n v="142.24199999999999"/>
    <n v="22.971"/>
    <n v="106"/>
    <n v="1065.76"/>
    <x v="0"/>
    <s v="Sometimes"/>
    <s v="Beauty"/>
    <x v="2"/>
    <n v="7"/>
    <n v="39.119999999999997"/>
  </r>
  <r>
    <s v="CUST0195"/>
    <n v="75"/>
    <x v="1"/>
    <s v="VIC"/>
    <s v="Married"/>
    <s v="Bachelor's"/>
    <n v="93.769000000000005"/>
    <n v="84.477999999999994"/>
    <n v="70"/>
    <n v="1206.83"/>
    <x v="0"/>
    <s v="Rarely"/>
    <s v="Home &amp; Kitchen"/>
    <x v="0"/>
    <n v="1"/>
    <n v="21.42"/>
  </r>
  <r>
    <s v="CUST0196"/>
    <n v="69"/>
    <x v="2"/>
    <s v="TAS"/>
    <s v="Divorced"/>
    <s v="Bachelor's"/>
    <n v="190.30799999999999"/>
    <n v="21.079000000000001"/>
    <n v="116"/>
    <n v="181.72"/>
    <x v="1"/>
    <s v="Rarely"/>
    <s v="Beauty"/>
    <x v="1"/>
    <n v="7"/>
    <n v="34.22"/>
  </r>
  <r>
    <s v="CUST0197"/>
    <n v="45"/>
    <x v="0"/>
    <s v="NSW"/>
    <s v="Single"/>
    <s v="Master's"/>
    <n v="115.867"/>
    <n v="46.56"/>
    <n v="129"/>
    <n v="360.93"/>
    <x v="1"/>
    <s v="Often"/>
    <s v="Electronics"/>
    <x v="1"/>
    <n v="9"/>
    <n v="13.24"/>
  </r>
  <r>
    <s v="CUST0198"/>
    <n v="50"/>
    <x v="1"/>
    <s v="NSW"/>
    <s v="Single"/>
    <s v="Bachelor's"/>
    <n v="30.599"/>
    <n v="74.834000000000003"/>
    <n v="102"/>
    <n v="733.67"/>
    <x v="0"/>
    <s v="Rarely"/>
    <s v="Beauty"/>
    <x v="1"/>
    <n v="2"/>
    <n v="27.53"/>
  </r>
  <r>
    <s v="CUST0199"/>
    <n v="33"/>
    <x v="0"/>
    <s v="WA"/>
    <s v="Divorced"/>
    <s v="Bachelor's"/>
    <n v="146.584"/>
    <n v="70.63"/>
    <n v="57"/>
    <n v="1239.1199999999999"/>
    <x v="0"/>
    <s v="Rarely"/>
    <s v="Electronics"/>
    <x v="0"/>
    <n v="8"/>
    <n v="11.62"/>
  </r>
  <r>
    <s v="CUST0200"/>
    <n v="55"/>
    <x v="0"/>
    <s v="VIC"/>
    <s v="Married"/>
    <s v="Bachelor's"/>
    <n v="125.867"/>
    <n v="7.8840000000000003"/>
    <n v="17"/>
    <n v="53.63"/>
    <x v="0"/>
    <s v="Often"/>
    <s v="Electronics"/>
    <x v="0"/>
    <n v="7"/>
    <n v="37.57"/>
  </r>
  <r>
    <s v="CUST0201"/>
    <n v="23"/>
    <x v="1"/>
    <s v="WA"/>
    <s v="Married"/>
    <s v="Bachelor's"/>
    <n v="88.673000000000002"/>
    <n v="58.735999999999997"/>
    <n v="38"/>
    <n v="1545.68"/>
    <x v="0"/>
    <s v="Sometimes"/>
    <s v="Beauty"/>
    <x v="0"/>
    <n v="7"/>
    <n v="9.17"/>
  </r>
  <r>
    <s v="CUST0202"/>
    <n v="32"/>
    <x v="1"/>
    <s v="WA"/>
    <s v="Married"/>
    <s v="Bachelor's"/>
    <n v="108.70399999999999"/>
    <n v="44.814999999999998"/>
    <n v="91"/>
    <n v="492.47"/>
    <x v="0"/>
    <s v="Always"/>
    <s v="Clothing"/>
    <x v="2"/>
    <n v="2"/>
    <n v="17.309999999999999"/>
  </r>
  <r>
    <s v="CUST0203"/>
    <n v="36"/>
    <x v="1"/>
    <s v="ACT"/>
    <s v="Single"/>
    <s v="Master's"/>
    <n v="29.132999999999999"/>
    <n v="52.963999999999999"/>
    <n v="32"/>
    <n v="401.24"/>
    <x v="0"/>
    <s v="Sometimes"/>
    <s v="Sports"/>
    <x v="0"/>
    <n v="9"/>
    <n v="14.67"/>
  </r>
  <r>
    <s v="CUST0204"/>
    <n v="67"/>
    <x v="1"/>
    <s v="NSW"/>
    <s v="Married"/>
    <s v="High School"/>
    <n v="225.173"/>
    <n v="47.540999999999997"/>
    <n v="71"/>
    <n v="669.59"/>
    <x v="1"/>
    <s v="Sometimes"/>
    <s v="Sports"/>
    <x v="0"/>
    <n v="3"/>
    <n v="40.090000000000003"/>
  </r>
  <r>
    <s v="CUST0205"/>
    <n v="27"/>
    <x v="0"/>
    <s v="ACT"/>
    <s v="Single"/>
    <s v="High School"/>
    <n v="60.505000000000003"/>
    <n v="75.210999999999999"/>
    <n v="17"/>
    <n v="4424.18"/>
    <x v="1"/>
    <s v="Often"/>
    <s v="Beauty"/>
    <x v="0"/>
    <n v="1"/>
    <n v="13.21"/>
  </r>
  <r>
    <s v="CUST0206"/>
    <n v="53"/>
    <x v="0"/>
    <s v="VIC"/>
    <s v="Single"/>
    <s v="Bachelor's"/>
    <n v="25.474"/>
    <n v="64.042000000000002"/>
    <n v="56"/>
    <n v="2036.46"/>
    <x v="1"/>
    <s v="Rarely"/>
    <s v="Home &amp; Kitchen"/>
    <x v="1"/>
    <n v="4"/>
    <n v="12.94"/>
  </r>
  <r>
    <s v="CUST0207"/>
    <n v="20"/>
    <x v="1"/>
    <s v="WA"/>
    <s v="Divorced"/>
    <s v="Bachelor's"/>
    <n v="201.79300000000001"/>
    <n v="54.698"/>
    <n v="36"/>
    <n v="2908.28"/>
    <x v="1"/>
    <s v="Always"/>
    <s v="Sports"/>
    <x v="0"/>
    <n v="4"/>
    <n v="42.3"/>
  </r>
  <r>
    <s v="CUST0208"/>
    <n v="71"/>
    <x v="0"/>
    <s v="NSW"/>
    <s v="Married"/>
    <s v="Bachelor's"/>
    <n v="92.707999999999998"/>
    <n v="58.173000000000002"/>
    <n v="138"/>
    <n v="856.33"/>
    <x v="1"/>
    <s v="Often"/>
    <s v="Home &amp; Kitchen"/>
    <x v="1"/>
    <n v="9"/>
    <n v="21.8"/>
  </r>
  <r>
    <s v="CUST0209"/>
    <n v="58"/>
    <x v="1"/>
    <s v="VIC"/>
    <s v="Divorced"/>
    <s v="PhD"/>
    <n v="198.52199999999999"/>
    <n v="75.878"/>
    <n v="43"/>
    <n v="1764.6"/>
    <x v="1"/>
    <s v="Often"/>
    <s v="Beauty"/>
    <x v="1"/>
    <n v="10"/>
    <n v="17.52"/>
  </r>
  <r>
    <s v="CUST0210"/>
    <n v="55"/>
    <x v="1"/>
    <s v="TAS"/>
    <s v="Single"/>
    <s v="Bachelor's"/>
    <n v="193.79300000000001"/>
    <n v="34.79"/>
    <n v="31"/>
    <n v="344.46"/>
    <x v="0"/>
    <s v="Sometimes"/>
    <s v="Clothing"/>
    <x v="1"/>
    <n v="4"/>
    <n v="10.57"/>
  </r>
  <r>
    <s v="CUST0211"/>
    <n v="51"/>
    <x v="0"/>
    <s v="NT"/>
    <s v="Divorced"/>
    <s v="High School"/>
    <n v="155.673"/>
    <n v="50.582999999999998"/>
    <n v="47"/>
    <n v="398.29"/>
    <x v="0"/>
    <s v="Rarely"/>
    <s v="Sports"/>
    <x v="1"/>
    <n v="7"/>
    <n v="22.7"/>
  </r>
  <r>
    <s v="CUST0212"/>
    <n v="49"/>
    <x v="1"/>
    <s v="QLD"/>
    <s v="Divorced"/>
    <s v="Master's"/>
    <n v="38.252000000000002"/>
    <n v="32.595999999999997"/>
    <n v="15"/>
    <n v="2173.0700000000002"/>
    <x v="1"/>
    <s v="Always"/>
    <s v="Beauty"/>
    <x v="1"/>
    <n v="6"/>
    <n v="3.05"/>
  </r>
  <r>
    <s v="CUST0213"/>
    <n v="43"/>
    <x v="1"/>
    <s v="WA"/>
    <s v="Married"/>
    <s v="Master's"/>
    <n v="63.34"/>
    <n v="61.811999999999998"/>
    <n v="71"/>
    <n v="841.42"/>
    <x v="0"/>
    <s v="Rarely"/>
    <s v="Home &amp; Kitchen"/>
    <x v="1"/>
    <n v="6"/>
    <n v="28.49"/>
  </r>
  <r>
    <s v="CUST0214"/>
    <n v="20"/>
    <x v="0"/>
    <s v="ACT"/>
    <s v="Single"/>
    <s v="Bachelor's"/>
    <n v="178.959"/>
    <n v="50.414000000000001"/>
    <n v="94"/>
    <n v="1068.23"/>
    <x v="0"/>
    <s v="Always"/>
    <s v="Electronics"/>
    <x v="1"/>
    <n v="8"/>
    <n v="10.23"/>
  </r>
  <r>
    <s v="CUST0215"/>
    <n v="18"/>
    <x v="1"/>
    <s v="VIC"/>
    <s v="Single"/>
    <s v="Bachelor's"/>
    <n v="120.378"/>
    <n v="46.179000000000002"/>
    <n v="58"/>
    <n v="1830.67"/>
    <x v="0"/>
    <s v="Often"/>
    <s v="Clothing"/>
    <x v="1"/>
    <n v="10"/>
    <n v="11.02"/>
  </r>
  <r>
    <s v="CUST0216"/>
    <n v="48"/>
    <x v="1"/>
    <s v="WA"/>
    <s v="Divorced"/>
    <s v="High School"/>
    <n v="51.945"/>
    <n v="41.563000000000002"/>
    <n v="72"/>
    <n v="577.26"/>
    <x v="1"/>
    <s v="Sometimes"/>
    <s v="Electronics"/>
    <x v="1"/>
    <n v="1"/>
    <n v="16.57"/>
  </r>
  <r>
    <s v="CUST0217"/>
    <n v="63"/>
    <x v="0"/>
    <s v="NT"/>
    <s v="Married"/>
    <s v="High School"/>
    <n v="165.376"/>
    <n v="90.54"/>
    <n v="83"/>
    <n v="1090.8399999999999"/>
    <x v="1"/>
    <s v="Often"/>
    <s v="Sports"/>
    <x v="1"/>
    <n v="1"/>
    <n v="36.200000000000003"/>
  </r>
  <r>
    <s v="CUST0218"/>
    <n v="36"/>
    <x v="1"/>
    <s v="SA"/>
    <s v="Married"/>
    <s v="Bachelor's"/>
    <n v="103.745"/>
    <n v="93.213999999999999"/>
    <n v="79"/>
    <n v="1179.92"/>
    <x v="1"/>
    <s v="Sometimes"/>
    <s v="Clothing"/>
    <x v="0"/>
    <n v="4"/>
    <n v="20.94"/>
  </r>
  <r>
    <s v="CUST0219"/>
    <n v="31"/>
    <x v="0"/>
    <s v="TAS"/>
    <s v="Married"/>
    <s v="High School"/>
    <n v="155.29400000000001"/>
    <n v="68.881"/>
    <n v="19"/>
    <n v="3625.32"/>
    <x v="0"/>
    <s v="Sometimes"/>
    <s v="Beauty"/>
    <x v="1"/>
    <n v="1"/>
    <n v="21.2"/>
  </r>
  <r>
    <s v="CUST0220"/>
    <n v="53"/>
    <x v="1"/>
    <s v="NSW"/>
    <s v="Divorced"/>
    <s v="PhD"/>
    <n v="67.265000000000001"/>
    <n v="22.989000000000001"/>
    <n v="25"/>
    <n v="919.56"/>
    <x v="0"/>
    <s v="Always"/>
    <s v="Sports"/>
    <x v="1"/>
    <n v="10"/>
    <n v="44.78"/>
  </r>
  <r>
    <s v="CUST0221"/>
    <n v="58"/>
    <x v="0"/>
    <s v="ACT"/>
    <s v="Married"/>
    <s v="PhD"/>
    <n v="117.074"/>
    <n v="59.466999999999999"/>
    <n v="17"/>
    <n v="3498.06"/>
    <x v="1"/>
    <s v="Often"/>
    <s v="Clothing"/>
    <x v="1"/>
    <n v="3"/>
    <n v="48.75"/>
  </r>
  <r>
    <s v="CUST0222"/>
    <n v="70"/>
    <x v="0"/>
    <s v="NT"/>
    <s v="Widowed"/>
    <s v="Master's"/>
    <n v="248.74"/>
    <n v="82.37"/>
    <n v="100"/>
    <n v="823.7"/>
    <x v="0"/>
    <s v="Sometimes"/>
    <s v="Beauty"/>
    <x v="1"/>
    <n v="2"/>
    <n v="35.9"/>
  </r>
  <r>
    <s v="CUST0223"/>
    <n v="70"/>
    <x v="1"/>
    <s v="WA"/>
    <s v="Single"/>
    <s v="Bachelor's"/>
    <n v="35.295000000000002"/>
    <n v="69.116"/>
    <n v="15"/>
    <n v="7274.4"/>
    <x v="1"/>
    <s v="Always"/>
    <s v="Electronics"/>
    <x v="2"/>
    <n v="4"/>
    <n v="16.350000000000001"/>
  </r>
  <r>
    <s v="CUST0224"/>
    <n v="29"/>
    <x v="0"/>
    <s v="QLD"/>
    <s v="Single"/>
    <s v="Master's"/>
    <n v="42.787999999999997"/>
    <n v="66.632999999999996"/>
    <n v="86"/>
    <n v="774.8"/>
    <x v="1"/>
    <s v="Often"/>
    <s v="Beauty"/>
    <x v="1"/>
    <n v="3"/>
    <n v="24.9"/>
  </r>
  <r>
    <s v="CUST0225"/>
    <n v="54"/>
    <x v="1"/>
    <s v="TAS"/>
    <s v="Divorced"/>
    <s v="PhD"/>
    <n v="52.491"/>
    <n v="19.917000000000002"/>
    <n v="139"/>
    <n v="790.77"/>
    <x v="1"/>
    <s v="Often"/>
    <s v="Clothing"/>
    <x v="2"/>
    <n v="1"/>
    <n v="11.72"/>
  </r>
  <r>
    <s v="CUST0226"/>
    <n v="33"/>
    <x v="0"/>
    <s v="NSW"/>
    <s v="Single"/>
    <s v="Bachelor's"/>
    <n v="130.08699999999999"/>
    <n v="34.683999999999997"/>
    <n v="97"/>
    <n v="1079.22"/>
    <x v="0"/>
    <s v="Always"/>
    <s v="Sports"/>
    <x v="1"/>
    <n v="7"/>
    <n v="40.159999999999997"/>
  </r>
  <r>
    <s v="CUST0227"/>
    <n v="27"/>
    <x v="1"/>
    <s v="ACT"/>
    <s v="Married"/>
    <s v="Bachelor's"/>
    <n v="101.405"/>
    <n v="29.614000000000001"/>
    <n v="6"/>
    <n v="16602.330000000002"/>
    <x v="1"/>
    <s v="Sometimes"/>
    <s v="Home &amp; Kitchen"/>
    <x v="1"/>
    <n v="7"/>
    <n v="22.22"/>
  </r>
  <r>
    <s v="CUST0228"/>
    <n v="65"/>
    <x v="0"/>
    <s v="VIC"/>
    <s v="Single"/>
    <s v="Bachelor's"/>
    <n v="111.88800000000001"/>
    <n v="17.690999999999999"/>
    <n v="25"/>
    <n v="707.64"/>
    <x v="0"/>
    <s v="Sometimes"/>
    <s v="Clothing"/>
    <x v="0"/>
    <n v="2"/>
    <n v="16.2"/>
  </r>
  <r>
    <s v="CUST0229"/>
    <n v="61"/>
    <x v="1"/>
    <s v="TAS"/>
    <s v="Divorced"/>
    <s v="High School"/>
    <n v="98.747"/>
    <n v="8.702"/>
    <n v="150"/>
    <n v="58.01"/>
    <x v="1"/>
    <s v="Sometimes"/>
    <s v="Home &amp; Kitchen"/>
    <x v="0"/>
    <n v="6"/>
    <n v="38.11"/>
  </r>
  <r>
    <s v="CUST0230"/>
    <n v="65"/>
    <x v="0"/>
    <s v="NT"/>
    <s v="Single"/>
    <s v="Master's"/>
    <n v="221.452"/>
    <n v="53.198"/>
    <n v="72"/>
    <n v="738.86"/>
    <x v="1"/>
    <s v="Often"/>
    <s v="Home &amp; Kitchen"/>
    <x v="0"/>
    <n v="8"/>
    <n v="29.81"/>
  </r>
  <r>
    <s v="CUST0231"/>
    <n v="31"/>
    <x v="1"/>
    <s v="SA"/>
    <s v="Single"/>
    <s v="Bachelor's"/>
    <n v="172.005"/>
    <n v="59.451999999999998"/>
    <n v="114"/>
    <n v="696.95"/>
    <x v="1"/>
    <s v="Rarely"/>
    <s v="Beauty"/>
    <x v="1"/>
    <n v="5"/>
    <n v="3.71"/>
  </r>
  <r>
    <s v="CUST0232"/>
    <n v="65"/>
    <x v="1"/>
    <s v="QLD"/>
    <s v="Single"/>
    <s v="Master's"/>
    <n v="240.61199999999999"/>
    <n v="37.430999999999997"/>
    <n v="75"/>
    <n v="1299.08"/>
    <x v="1"/>
    <s v="Always"/>
    <s v="Home &amp; Kitchen"/>
    <x v="1"/>
    <n v="5"/>
    <n v="2.17"/>
  </r>
  <r>
    <s v="CUST0233"/>
    <n v="70"/>
    <x v="0"/>
    <s v="NT"/>
    <s v="Married"/>
    <s v="Bachelor's"/>
    <n v="228.65700000000001"/>
    <n v="48.484999999999999"/>
    <n v="17"/>
    <n v="6969.71"/>
    <x v="0"/>
    <s v="Sometimes"/>
    <s v="Sports"/>
    <x v="1"/>
    <n v="6"/>
    <n v="0.53"/>
  </r>
  <r>
    <s v="CUST0234"/>
    <n v="62"/>
    <x v="1"/>
    <s v="NT"/>
    <s v="Divorced"/>
    <s v="Bachelor's"/>
    <n v="77.058999999999997"/>
    <n v="48.764000000000003"/>
    <n v="52"/>
    <n v="1899.31"/>
    <x v="0"/>
    <s v="Often"/>
    <s v="Home &amp; Kitchen"/>
    <x v="1"/>
    <n v="10"/>
    <n v="31.28"/>
  </r>
  <r>
    <s v="CUST0235"/>
    <n v="44"/>
    <x v="0"/>
    <s v="SA"/>
    <s v="Married"/>
    <s v="Bachelor's"/>
    <n v="82.430999999999997"/>
    <n v="77.566999999999993"/>
    <n v="29"/>
    <n v="2674.72"/>
    <x v="0"/>
    <s v="Often"/>
    <s v="Beauty"/>
    <x v="0"/>
    <n v="5"/>
    <n v="37.659999999999997"/>
  </r>
  <r>
    <s v="CUST0236"/>
    <n v="22"/>
    <x v="1"/>
    <s v="QLD"/>
    <s v="Single"/>
    <s v="Bachelor's"/>
    <n v="101.482"/>
    <n v="88.251000000000005"/>
    <n v="106"/>
    <n v="832.56"/>
    <x v="0"/>
    <s v="Sometimes"/>
    <s v="Beauty"/>
    <x v="0"/>
    <n v="1"/>
    <n v="45.48"/>
  </r>
  <r>
    <s v="CUST0237"/>
    <n v="40"/>
    <x v="1"/>
    <s v="ACT"/>
    <s v="Single"/>
    <s v="Bachelor's"/>
    <n v="203.952"/>
    <n v="29.036999999999999"/>
    <n v="24"/>
    <n v="1209.8800000000001"/>
    <x v="0"/>
    <s v="Often"/>
    <s v="Sports"/>
    <x v="1"/>
    <n v="9"/>
    <n v="15.47"/>
  </r>
  <r>
    <s v="CUST0238"/>
    <n v="23"/>
    <x v="1"/>
    <s v="NSW"/>
    <s v="Single"/>
    <s v="Bachelor's"/>
    <n v="155.96600000000001"/>
    <n v="41.875999999999998"/>
    <n v="35"/>
    <n v="310.19"/>
    <x v="0"/>
    <s v="Sometimes"/>
    <s v="Electronics"/>
    <x v="1"/>
    <n v="9"/>
    <n v="26.97"/>
  </r>
  <r>
    <s v="CUST0239"/>
    <n v="67"/>
    <x v="0"/>
    <s v="QLD"/>
    <s v="Single"/>
    <s v="Master's"/>
    <n v="150.72499999999999"/>
    <n v="43.820999999999998"/>
    <n v="27"/>
    <n v="345.05"/>
    <x v="1"/>
    <s v="Sometimes"/>
    <s v="Clothing"/>
    <x v="1"/>
    <n v="6"/>
    <n v="34.06"/>
  </r>
  <r>
    <s v="CUST0240"/>
    <n v="71"/>
    <x v="0"/>
    <s v="WA"/>
    <s v="Single"/>
    <s v="High School"/>
    <n v="109.81399999999999"/>
    <n v="78.427000000000007"/>
    <n v="103"/>
    <n v="761.43"/>
    <x v="0"/>
    <s v="Rarely"/>
    <s v="Beauty"/>
    <x v="1"/>
    <n v="1"/>
    <n v="21.6"/>
  </r>
  <r>
    <s v="CUST0241"/>
    <n v="46"/>
    <x v="1"/>
    <s v="ACT"/>
    <s v="Single"/>
    <s v="Bachelor's"/>
    <n v="152.982"/>
    <n v="49.826000000000001"/>
    <n v="22"/>
    <n v="2264.8200000000002"/>
    <x v="1"/>
    <s v="Always"/>
    <s v="Electronics"/>
    <x v="0"/>
    <n v="10"/>
    <n v="6.02"/>
  </r>
  <r>
    <s v="CUST0242"/>
    <n v="68"/>
    <x v="1"/>
    <s v="NSW"/>
    <s v="Married"/>
    <s v="High School"/>
    <n v="154.625"/>
    <n v="83.674999999999997"/>
    <n v="69"/>
    <n v="1212.68"/>
    <x v="0"/>
    <s v="Sometimes"/>
    <s v="Clothing"/>
    <x v="1"/>
    <n v="5"/>
    <n v="28.76"/>
  </r>
  <r>
    <s v="CUST0243"/>
    <n v="54"/>
    <x v="1"/>
    <s v="NSW"/>
    <s v="Married"/>
    <s v="Bachelor's"/>
    <n v="140.035"/>
    <n v="46.741999999999997"/>
    <n v="41"/>
    <n v="331.5"/>
    <x v="0"/>
    <s v="Rarely"/>
    <s v="Electronics"/>
    <x v="1"/>
    <n v="8"/>
    <n v="22.01"/>
  </r>
  <r>
    <s v="CUST0244"/>
    <n v="20"/>
    <x v="0"/>
    <s v="QLD"/>
    <s v="Single"/>
    <s v="Bachelor's"/>
    <n v="176.27199999999999"/>
    <n v="77.100999999999999"/>
    <n v="82"/>
    <n v="1306.1099999999999"/>
    <x v="0"/>
    <s v="Sometimes"/>
    <s v="Electronics"/>
    <x v="2"/>
    <n v="6"/>
    <n v="40.270000000000003"/>
  </r>
  <r>
    <s v="CUST0245"/>
    <n v="28"/>
    <x v="1"/>
    <s v="VIC"/>
    <s v="Single"/>
    <s v="High School"/>
    <n v="239.95500000000001"/>
    <n v="51.88"/>
    <n v="34"/>
    <n v="2702.35"/>
    <x v="1"/>
    <s v="Often"/>
    <s v="Home &amp; Kitchen"/>
    <x v="1"/>
    <n v="1"/>
    <n v="1.29"/>
  </r>
  <r>
    <s v="CUST0246"/>
    <n v="57"/>
    <x v="1"/>
    <s v="NSW"/>
    <s v="Single"/>
    <s v="Bachelor's"/>
    <n v="73.519000000000005"/>
    <n v="81.266000000000005"/>
    <n v="30"/>
    <n v="3708.87"/>
    <x v="0"/>
    <s v="Sometimes"/>
    <s v="Sports"/>
    <x v="1"/>
    <n v="5"/>
    <n v="37.299999999999997"/>
  </r>
  <r>
    <s v="CUST0247"/>
    <n v="58"/>
    <x v="1"/>
    <s v="VIC"/>
    <s v="Single"/>
    <s v="Bachelor's"/>
    <n v="111.542"/>
    <n v="31.344999999999999"/>
    <n v="47"/>
    <n v="666.91"/>
    <x v="0"/>
    <s v="Always"/>
    <s v="Home &amp; Kitchen"/>
    <x v="1"/>
    <n v="10"/>
    <n v="8.31"/>
  </r>
  <r>
    <s v="CUST0248"/>
    <n v="47"/>
    <x v="0"/>
    <s v="NSW"/>
    <s v="Single"/>
    <s v="Bachelor's"/>
    <n v="97.575000000000003"/>
    <n v="81.611000000000004"/>
    <n v="115"/>
    <n v="562.83000000000004"/>
    <x v="0"/>
    <s v="Often"/>
    <s v="Sports"/>
    <x v="1"/>
    <n v="10"/>
    <n v="3.17"/>
  </r>
  <r>
    <s v="CUST0249"/>
    <n v="19"/>
    <x v="0"/>
    <s v="VIC"/>
    <s v="Single"/>
    <s v="PhD"/>
    <n v="58.780999999999999"/>
    <n v="49.843000000000004"/>
    <n v="19"/>
    <n v="418.85"/>
    <x v="0"/>
    <s v="Always"/>
    <s v="Sports"/>
    <x v="1"/>
    <n v="1"/>
    <n v="2.04"/>
  </r>
  <r>
    <s v="CUST0250"/>
    <n v="24"/>
    <x v="0"/>
    <s v="NT"/>
    <s v="Single"/>
    <s v="Bachelor's"/>
    <n v="75.123000000000005"/>
    <n v="19.718"/>
    <n v="80"/>
    <n v="246.48"/>
    <x v="1"/>
    <s v="Often"/>
    <s v="Electronics"/>
    <x v="1"/>
    <n v="6"/>
    <n v="42.38"/>
  </r>
  <r>
    <s v="CUST0251"/>
    <n v="20"/>
    <x v="0"/>
    <s v="VIC"/>
    <s v="Single"/>
    <s v="Master's"/>
    <n v="237.31899999999999"/>
    <n v="27.7"/>
    <n v="59"/>
    <n v="469.49"/>
    <x v="0"/>
    <s v="Often"/>
    <s v="Beauty"/>
    <x v="0"/>
    <n v="5"/>
    <n v="34.729999999999997"/>
  </r>
  <r>
    <s v="CUST0252"/>
    <n v="53"/>
    <x v="0"/>
    <s v="QLD"/>
    <s v="Divorced"/>
    <s v="Master's"/>
    <n v="201.20099999999999"/>
    <n v="45.447000000000003"/>
    <n v="44"/>
    <n v="315.60000000000002"/>
    <x v="1"/>
    <s v="Sometimes"/>
    <s v="Electronics"/>
    <x v="1"/>
    <n v="7"/>
    <n v="4.72"/>
  </r>
  <r>
    <s v="CUST0253"/>
    <n v="26"/>
    <x v="1"/>
    <s v="WA"/>
    <s v="Single"/>
    <s v="Master's"/>
    <n v="179.874"/>
    <n v="62.951999999999998"/>
    <n v="55"/>
    <n v="503.62"/>
    <x v="0"/>
    <s v="Always"/>
    <s v="Electronics"/>
    <x v="1"/>
    <n v="8"/>
    <n v="46.96"/>
  </r>
  <r>
    <s v="CUST0254"/>
    <n v="37"/>
    <x v="1"/>
    <s v="QLD"/>
    <s v="Single"/>
    <s v="High School"/>
    <n v="189.57599999999999"/>
    <n v="39.926000000000002"/>
    <n v="48"/>
    <n v="269.77"/>
    <x v="1"/>
    <s v="Sometimes"/>
    <s v="Sports"/>
    <x v="2"/>
    <n v="1"/>
    <n v="12.11"/>
  </r>
  <r>
    <s v="CUST0255"/>
    <n v="47"/>
    <x v="0"/>
    <s v="TAS"/>
    <s v="Divorced"/>
    <s v="High School"/>
    <n v="45.768999999999998"/>
    <n v="26.83"/>
    <n v="23"/>
    <n v="1166.52"/>
    <x v="0"/>
    <s v="Often"/>
    <s v="Electronics"/>
    <x v="1"/>
    <n v="3"/>
    <n v="22.97"/>
  </r>
  <r>
    <s v="CUST0256"/>
    <n v="27"/>
    <x v="0"/>
    <s v="NT"/>
    <s v="Married"/>
    <s v="Bachelor's"/>
    <n v="86.27"/>
    <n v="47.259"/>
    <n v="13"/>
    <n v="418.22"/>
    <x v="1"/>
    <s v="Sometimes"/>
    <s v="Sports"/>
    <x v="2"/>
    <n v="7"/>
    <n v="15.56"/>
  </r>
  <r>
    <s v="CUST0257"/>
    <n v="46"/>
    <x v="0"/>
    <s v="SA"/>
    <s v="Married"/>
    <s v="Master's"/>
    <n v="75.289000000000001"/>
    <n v="63.597999999999999"/>
    <n v="34"/>
    <n v="474.61"/>
    <x v="0"/>
    <s v="Rarely"/>
    <s v="Electronics"/>
    <x v="1"/>
    <n v="1"/>
    <n v="31.26"/>
  </r>
  <r>
    <s v="CUST0258"/>
    <n v="67"/>
    <x v="0"/>
    <s v="TAS"/>
    <s v="Married"/>
    <s v="High School"/>
    <n v="195.17699999999999"/>
    <n v="61.579000000000001"/>
    <n v="43"/>
    <n v="2129.7399999999998"/>
    <x v="1"/>
    <s v="Rarely"/>
    <s v="Beauty"/>
    <x v="2"/>
    <n v="9"/>
    <n v="39.380000000000003"/>
  </r>
  <r>
    <s v="CUST0259"/>
    <n v="75"/>
    <x v="0"/>
    <s v="NSW"/>
    <s v="Single"/>
    <s v="High School"/>
    <n v="177.054"/>
    <n v="78.978999999999999"/>
    <n v="42"/>
    <n v="2594.7399999999998"/>
    <x v="0"/>
    <s v="Rarely"/>
    <s v="Clothing"/>
    <x v="1"/>
    <n v="5"/>
    <n v="21.94"/>
  </r>
  <r>
    <s v="CUST0260"/>
    <n v="24"/>
    <x v="0"/>
    <s v="WA"/>
    <s v="Married"/>
    <s v="Master's"/>
    <n v="140.80199999999999"/>
    <n v="78.134"/>
    <n v="63"/>
    <n v="1875.14"/>
    <x v="0"/>
    <s v="Sometimes"/>
    <s v="Electronics"/>
    <x v="0"/>
    <n v="1"/>
    <n v="34.44"/>
  </r>
  <r>
    <s v="CUST0261"/>
    <n v="55"/>
    <x v="2"/>
    <s v="NT"/>
    <s v="Single"/>
    <s v="High School"/>
    <n v="125.178"/>
    <n v="14.388999999999999"/>
    <n v="43"/>
    <n v="334.63"/>
    <x v="0"/>
    <s v="Often"/>
    <s v="Electronics"/>
    <x v="1"/>
    <n v="1"/>
    <n v="13.16"/>
  </r>
  <r>
    <s v="CUST0262"/>
    <n v="34"/>
    <x v="0"/>
    <s v="SA"/>
    <s v="Single"/>
    <s v="High School"/>
    <n v="33.585999999999999"/>
    <n v="34.430999999999997"/>
    <n v="12"/>
    <n v="307.42"/>
    <x v="1"/>
    <s v="Sometimes"/>
    <s v="Electronics"/>
    <x v="2"/>
    <n v="2"/>
    <n v="30"/>
  </r>
  <r>
    <s v="CUST0263"/>
    <n v="25"/>
    <x v="0"/>
    <s v="NSW"/>
    <s v="Single"/>
    <s v="High School"/>
    <n v="139.66300000000001"/>
    <n v="73.447000000000003"/>
    <n v="50"/>
    <n v="1868.94"/>
    <x v="0"/>
    <s v="Often"/>
    <s v="Beauty"/>
    <x v="1"/>
    <n v="7"/>
    <n v="20.28"/>
  </r>
  <r>
    <s v="CUST0264"/>
    <n v="26"/>
    <x v="0"/>
    <s v="NT"/>
    <s v="Divorced"/>
    <s v="Bachelor's"/>
    <n v="151.58600000000001"/>
    <n v="108.227"/>
    <n v="109"/>
    <n v="992.91"/>
    <x v="1"/>
    <s v="Rarely"/>
    <s v="Electronics"/>
    <x v="0"/>
    <n v="1"/>
    <n v="4.38"/>
  </r>
  <r>
    <s v="CUST0265"/>
    <n v="37"/>
    <x v="0"/>
    <s v="VIC"/>
    <s v="Married"/>
    <s v="Bachelor's"/>
    <n v="188.31899999999999"/>
    <n v="68.197999999999993"/>
    <n v="90"/>
    <n v="757.76"/>
    <x v="1"/>
    <s v="Often"/>
    <s v="Clothing"/>
    <x v="0"/>
    <n v="9"/>
    <n v="16.79"/>
  </r>
  <r>
    <s v="CUST0266"/>
    <n v="61"/>
    <x v="1"/>
    <s v="QLD"/>
    <s v="Married"/>
    <s v="Bachelor's"/>
    <n v="59.548000000000002"/>
    <n v="48.252000000000002"/>
    <n v="63"/>
    <n v="765.9"/>
    <x v="0"/>
    <s v="Sometimes"/>
    <s v="Beauty"/>
    <x v="1"/>
    <n v="3"/>
    <n v="10.68"/>
  </r>
  <r>
    <s v="CUST0267"/>
    <n v="53"/>
    <x v="0"/>
    <s v="NT"/>
    <s v="Single"/>
    <s v="Master's"/>
    <n v="146.72399999999999"/>
    <n v="67.492999999999995"/>
    <n v="5"/>
    <n v="19498.599999999999"/>
    <x v="1"/>
    <s v="Sometimes"/>
    <s v="Sports"/>
    <x v="1"/>
    <n v="4"/>
    <n v="10.32"/>
  </r>
  <r>
    <s v="CUST0268"/>
    <n v="55"/>
    <x v="0"/>
    <s v="SA"/>
    <s v="Divorced"/>
    <s v="Bachelor's"/>
    <n v="221.92099999999999"/>
    <n v="8.6549999999999994"/>
    <n v="18"/>
    <n v="73.349999999999994"/>
    <x v="0"/>
    <s v="Sometimes"/>
    <s v="Home &amp; Kitchen"/>
    <x v="1"/>
    <n v="4"/>
    <n v="14.17"/>
  </r>
  <r>
    <s v="CUST0269"/>
    <n v="63"/>
    <x v="1"/>
    <s v="WA"/>
    <s v="Divorced"/>
    <s v="Bachelor's"/>
    <n v="246.58699999999999"/>
    <n v="122.913"/>
    <n v="82"/>
    <n v="1255.04"/>
    <x v="1"/>
    <s v="Often"/>
    <s v="Clothing"/>
    <x v="1"/>
    <n v="3"/>
    <n v="18.96"/>
  </r>
  <r>
    <s v="CUST0270"/>
    <n v="69"/>
    <x v="0"/>
    <s v="WA"/>
    <s v="Single"/>
    <s v="Master's"/>
    <n v="159.26300000000001"/>
    <n v="81.756"/>
    <n v="91"/>
    <n v="898.42"/>
    <x v="0"/>
    <s v="Often"/>
    <s v="Home &amp; Kitchen"/>
    <x v="1"/>
    <n v="9"/>
    <n v="14.42"/>
  </r>
  <r>
    <s v="CUST0271"/>
    <n v="69"/>
    <x v="1"/>
    <s v="SA"/>
    <s v="Single"/>
    <s v="Master's"/>
    <n v="223.715"/>
    <n v="76.995999999999995"/>
    <n v="64"/>
    <n v="1203.06"/>
    <x v="0"/>
    <s v="Always"/>
    <s v="Beauty"/>
    <x v="1"/>
    <n v="2"/>
    <n v="14.23"/>
  </r>
  <r>
    <s v="CUST0272"/>
    <n v="18"/>
    <x v="0"/>
    <s v="ACT"/>
    <s v="Single"/>
    <s v="Master's"/>
    <n v="240.40700000000001"/>
    <n v="40.551000000000002"/>
    <n v="29"/>
    <n v="372.03"/>
    <x v="1"/>
    <s v="Sometimes"/>
    <s v="Electronics"/>
    <x v="1"/>
    <n v="4"/>
    <n v="36.380000000000003"/>
  </r>
  <r>
    <s v="CUST0273"/>
    <n v="26"/>
    <x v="1"/>
    <s v="ACT"/>
    <s v="Single"/>
    <s v="Bachelor's"/>
    <n v="136.40700000000001"/>
    <n v="56.929000000000002"/>
    <n v="59"/>
    <n v="964.9"/>
    <x v="0"/>
    <s v="Often"/>
    <s v="Beauty"/>
    <x v="1"/>
    <n v="1"/>
    <n v="42.92"/>
  </r>
  <r>
    <s v="CUST0274"/>
    <n v="46"/>
    <x v="1"/>
    <s v="VIC"/>
    <s v="Married"/>
    <s v="Bachelor's"/>
    <n v="34.119"/>
    <n v="58.874000000000002"/>
    <n v="64"/>
    <n v="1388.66"/>
    <x v="0"/>
    <s v="Sometimes"/>
    <s v="Home &amp; Kitchen"/>
    <x v="0"/>
    <n v="1"/>
    <n v="17.79"/>
  </r>
  <r>
    <s v="CUST0275"/>
    <n v="36"/>
    <x v="0"/>
    <s v="ACT"/>
    <s v="Widowed"/>
    <s v="Bachelor's"/>
    <n v="101.81699999999999"/>
    <n v="10.159000000000001"/>
    <n v="9"/>
    <n v="11128.78"/>
    <x v="0"/>
    <s v="Sometimes"/>
    <s v="Clothing"/>
    <x v="0"/>
    <n v="1"/>
    <n v="13.38"/>
  </r>
  <r>
    <s v="CUST0276"/>
    <n v="46"/>
    <x v="1"/>
    <s v="ACT"/>
    <s v="Married"/>
    <s v="Bachelor's"/>
    <n v="26.132999999999999"/>
    <n v="37.042999999999999"/>
    <n v="40"/>
    <n v="264.58999999999997"/>
    <x v="0"/>
    <s v="Sometimes"/>
    <s v="Home &amp; Kitchen"/>
    <x v="1"/>
    <n v="10"/>
    <n v="11.34"/>
  </r>
  <r>
    <s v="CUST0277"/>
    <n v="27"/>
    <x v="0"/>
    <s v="ACT"/>
    <s v="Single"/>
    <s v="High School"/>
    <n v="141.33699999999999"/>
    <n v="53.613"/>
    <n v="80"/>
    <n v="670.16"/>
    <x v="1"/>
    <s v="Rarely"/>
    <s v="Electronics"/>
    <x v="1"/>
    <n v="6"/>
    <n v="8.82"/>
  </r>
  <r>
    <s v="CUST0278"/>
    <n v="22"/>
    <x v="0"/>
    <s v="QLD"/>
    <s v="Married"/>
    <s v="Bachelor's"/>
    <n v="86.988"/>
    <n v="46.360999999999997"/>
    <n v="49"/>
    <n v="1966.55"/>
    <x v="1"/>
    <s v="Often"/>
    <s v="Home &amp; Kitchen"/>
    <x v="2"/>
    <n v="8"/>
    <n v="47.59"/>
  </r>
  <r>
    <s v="CUST0279"/>
    <n v="60"/>
    <x v="1"/>
    <s v="WA"/>
    <s v="Married"/>
    <s v="Master's"/>
    <n v="32.802999999999997"/>
    <n v="55.649000000000001"/>
    <n v="53"/>
    <n v="1049.98"/>
    <x v="0"/>
    <s v="Sometimes"/>
    <s v="Home &amp; Kitchen"/>
    <x v="1"/>
    <n v="4"/>
    <n v="0.89"/>
  </r>
  <r>
    <s v="CUST0280"/>
    <n v="19"/>
    <x v="0"/>
    <s v="NSW"/>
    <s v="Married"/>
    <s v="Bachelor's"/>
    <n v="136.79599999999999"/>
    <n v="32.064999999999998"/>
    <n v="33"/>
    <n v="283.76"/>
    <x v="1"/>
    <s v="Sometimes"/>
    <s v="Electronics"/>
    <x v="2"/>
    <n v="4"/>
    <n v="40.78"/>
  </r>
  <r>
    <s v="CUST0281"/>
    <n v="70"/>
    <x v="1"/>
    <s v="ACT"/>
    <s v="Married"/>
    <s v="Bachelor's"/>
    <n v="148.48500000000001"/>
    <n v="8.5210000000000008"/>
    <n v="14"/>
    <n v="608.64"/>
    <x v="0"/>
    <s v="Sometimes"/>
    <s v="Home &amp; Kitchen"/>
    <x v="1"/>
    <n v="4"/>
    <n v="24.29"/>
  </r>
  <r>
    <s v="CUST0282"/>
    <n v="53"/>
    <x v="0"/>
    <s v="ACT"/>
    <s v="Single"/>
    <s v="Bachelor's"/>
    <n v="115.306"/>
    <n v="31.047999999999998"/>
    <n v="48"/>
    <n v="771.59"/>
    <x v="1"/>
    <s v="Sometimes"/>
    <s v="Beauty"/>
    <x v="0"/>
    <n v="7"/>
    <n v="30.55"/>
  </r>
  <r>
    <s v="CUST0283"/>
    <n v="43"/>
    <x v="0"/>
    <s v="ACT"/>
    <s v="Married"/>
    <s v="Bachelor's"/>
    <n v="75.638999999999996"/>
    <n v="15.81"/>
    <n v="24"/>
    <n v="127.5"/>
    <x v="0"/>
    <s v="Sometimes"/>
    <s v="Sports"/>
    <x v="0"/>
    <n v="5"/>
    <n v="45.17"/>
  </r>
  <r>
    <s v="CUST0284"/>
    <n v="70"/>
    <x v="0"/>
    <s v="TAS"/>
    <s v="Married"/>
    <s v="Bachelor's"/>
    <n v="36.390999999999998"/>
    <n v="52.011000000000003"/>
    <n v="40"/>
    <n v="1300.28"/>
    <x v="0"/>
    <s v="Always"/>
    <s v="Sports"/>
    <x v="1"/>
    <n v="9"/>
    <n v="40.92"/>
  </r>
  <r>
    <s v="CUST0285"/>
    <n v="23"/>
    <x v="0"/>
    <s v="VIC"/>
    <s v="Married"/>
    <s v="Master's"/>
    <n v="236.41200000000001"/>
    <n v="19.332999999999998"/>
    <n v="11"/>
    <n v="137.11000000000001"/>
    <x v="0"/>
    <s v="Sometimes"/>
    <s v="Beauty"/>
    <x v="0"/>
    <n v="10"/>
    <n v="3.3"/>
  </r>
  <r>
    <s v="CUST0286"/>
    <n v="72"/>
    <x v="0"/>
    <s v="NSW"/>
    <s v="Single"/>
    <s v="Bachelor's"/>
    <n v="175.15299999999999"/>
    <n v="22.359000000000002"/>
    <n v="39"/>
    <n v="573.30999999999995"/>
    <x v="0"/>
    <s v="Often"/>
    <s v="Clothing"/>
    <x v="2"/>
    <n v="1"/>
    <n v="33.17"/>
  </r>
  <r>
    <s v="CUST0287"/>
    <n v="50"/>
    <x v="1"/>
    <s v="TAS"/>
    <s v="Single"/>
    <s v="Master's"/>
    <n v="199.15700000000001"/>
    <n v="23.946000000000002"/>
    <n v="10"/>
    <n v="239.46"/>
    <x v="0"/>
    <s v="Sometimes"/>
    <s v="Electronics"/>
    <x v="0"/>
    <n v="10"/>
    <n v="19.37"/>
  </r>
  <r>
    <s v="CUST0288"/>
    <n v="19"/>
    <x v="0"/>
    <s v="TAS"/>
    <s v="Single"/>
    <s v="Master's"/>
    <n v="190.678"/>
    <n v="49.584000000000003"/>
    <n v="48"/>
    <n v="1013.42"/>
    <x v="1"/>
    <s v="Often"/>
    <s v="Electronics"/>
    <x v="0"/>
    <n v="6"/>
    <n v="49.94"/>
  </r>
  <r>
    <s v="CUST0289"/>
    <n v="21"/>
    <x v="0"/>
    <s v="QLD"/>
    <s v="Divorced"/>
    <s v="Bachelor's"/>
    <n v="98.540999999999997"/>
    <n v="17.37"/>
    <n v="14"/>
    <n v="838.36"/>
    <x v="1"/>
    <s v="Often"/>
    <s v="Beauty"/>
    <x v="1"/>
    <n v="8"/>
    <n v="8.9"/>
  </r>
  <r>
    <s v="CUST0290"/>
    <n v="44"/>
    <x v="0"/>
    <s v="NT"/>
    <s v="Married"/>
    <s v="Bachelor's"/>
    <n v="22.556999999999999"/>
    <n v="37.393000000000001"/>
    <n v="63"/>
    <n v="593.54"/>
    <x v="0"/>
    <s v="Sometimes"/>
    <s v="Electronics"/>
    <x v="0"/>
    <n v="10"/>
    <n v="26.27"/>
  </r>
  <r>
    <s v="CUST0291"/>
    <n v="38"/>
    <x v="1"/>
    <s v="NT"/>
    <s v="Married"/>
    <s v="Master's"/>
    <n v="129.02699999999999"/>
    <n v="79.382000000000005"/>
    <n v="34"/>
    <n v="2334.7600000000002"/>
    <x v="0"/>
    <s v="Sometimes"/>
    <s v="Beauty"/>
    <x v="2"/>
    <n v="6"/>
    <n v="46.29"/>
  </r>
  <r>
    <s v="CUST0292"/>
    <n v="58"/>
    <x v="0"/>
    <s v="ACT"/>
    <s v="Divorced"/>
    <s v="Bachelor's"/>
    <n v="198.22800000000001"/>
    <n v="48.103000000000002"/>
    <n v="97"/>
    <n v="1114.46"/>
    <x v="1"/>
    <s v="Sometimes"/>
    <s v="Electronics"/>
    <x v="0"/>
    <n v="8"/>
    <n v="43.2"/>
  </r>
  <r>
    <s v="CUST0293"/>
    <n v="50"/>
    <x v="1"/>
    <s v="WA"/>
    <s v="Divorced"/>
    <s v="Master's"/>
    <n v="226.78"/>
    <n v="33.335999999999999"/>
    <n v="52"/>
    <n v="326.82"/>
    <x v="0"/>
    <s v="Sometimes"/>
    <s v="Home &amp; Kitchen"/>
    <x v="0"/>
    <n v="8"/>
    <n v="28"/>
  </r>
  <r>
    <s v="CUST0294"/>
    <n v="36"/>
    <x v="0"/>
    <s v="NT"/>
    <s v="Divorced"/>
    <s v="Bachelor's"/>
    <n v="54.305999999999997"/>
    <n v="80.941000000000003"/>
    <n v="106"/>
    <n v="763.59"/>
    <x v="1"/>
    <s v="Rarely"/>
    <s v="Electronics"/>
    <x v="2"/>
    <n v="2"/>
    <n v="29.14"/>
  </r>
  <r>
    <s v="CUST0295"/>
    <n v="65"/>
    <x v="0"/>
    <s v="ACT"/>
    <s v="Single"/>
    <s v="Bachelor's"/>
    <n v="133.43199999999999"/>
    <n v="38.837000000000003"/>
    <n v="12"/>
    <n v="3236.42"/>
    <x v="1"/>
    <s v="Often"/>
    <s v="Home &amp; Kitchen"/>
    <x v="1"/>
    <n v="9"/>
    <n v="34.770000000000003"/>
  </r>
  <r>
    <s v="CUST0296"/>
    <n v="27"/>
    <x v="0"/>
    <s v="NSW"/>
    <s v="Widowed"/>
    <s v="Master's"/>
    <n v="70.066000000000003"/>
    <n v="80.108999999999995"/>
    <n v="115"/>
    <n v="696.6"/>
    <x v="1"/>
    <s v="Rarely"/>
    <s v="Beauty"/>
    <x v="2"/>
    <n v="1"/>
    <n v="8.7899999999999991"/>
  </r>
  <r>
    <s v="CUST0297"/>
    <n v="44"/>
    <x v="1"/>
    <s v="NSW"/>
    <s v="Divorced"/>
    <s v="Master's"/>
    <n v="125.152"/>
    <n v="84.346000000000004"/>
    <n v="47"/>
    <n v="1794.6"/>
    <x v="0"/>
    <s v="Sometimes"/>
    <s v="Clothing"/>
    <x v="0"/>
    <n v="2"/>
    <n v="33.79"/>
  </r>
  <r>
    <s v="CUST0298"/>
    <n v="32"/>
    <x v="0"/>
    <s v="NT"/>
    <s v="Single"/>
    <s v="Bachelor's"/>
    <n v="178.15199999999999"/>
    <n v="38.698"/>
    <n v="66"/>
    <n v="586.33000000000004"/>
    <x v="0"/>
    <s v="Often"/>
    <s v="Clothing"/>
    <x v="1"/>
    <n v="5"/>
    <n v="20.71"/>
  </r>
  <r>
    <s v="CUST0299"/>
    <n v="60"/>
    <x v="0"/>
    <s v="SA"/>
    <s v="Divorced"/>
    <s v="Bachelor's"/>
    <n v="243.892"/>
    <n v="53.28"/>
    <n v="6"/>
    <n v="8880"/>
    <x v="0"/>
    <s v="Often"/>
    <s v="Clothing"/>
    <x v="0"/>
    <n v="8"/>
    <n v="25.96"/>
  </r>
  <r>
    <s v="CUST0300"/>
    <n v="74"/>
    <x v="1"/>
    <s v="WA"/>
    <s v="Divorced"/>
    <s v="Bachelor's"/>
    <n v="215.69499999999999"/>
    <n v="66.981999999999999"/>
    <n v="76"/>
    <n v="531.6"/>
    <x v="1"/>
    <s v="Sometimes"/>
    <s v="Home &amp; Kitchen"/>
    <x v="2"/>
    <n v="3"/>
    <n v="5.42"/>
  </r>
  <r>
    <s v="CUST0301"/>
    <n v="26"/>
    <x v="1"/>
    <s v="QLD"/>
    <s v="Single"/>
    <s v="PhD"/>
    <n v="191.32499999999999"/>
    <n v="21.126999999999999"/>
    <n v="46"/>
    <n v="1546.24"/>
    <x v="0"/>
    <s v="Rarely"/>
    <s v="Clothing"/>
    <x v="0"/>
    <n v="9"/>
    <n v="32.5"/>
  </r>
  <r>
    <s v="CUST0302"/>
    <n v="67"/>
    <x v="1"/>
    <s v="WA"/>
    <s v="Married"/>
    <s v="High School"/>
    <n v="115.717"/>
    <n v="21.079000000000001"/>
    <n v="52"/>
    <n v="405.37"/>
    <x v="1"/>
    <s v="Rarely"/>
    <s v="Electronics"/>
    <x v="1"/>
    <n v="9"/>
    <n v="2.25"/>
  </r>
  <r>
    <s v="CUST0303"/>
    <n v="43"/>
    <x v="1"/>
    <s v="WA"/>
    <s v="Single"/>
    <s v="Bachelor's"/>
    <n v="71.369"/>
    <n v="14.46"/>
    <n v="13"/>
    <n v="127.96"/>
    <x v="1"/>
    <s v="Sometimes"/>
    <s v="Clothing"/>
    <x v="1"/>
    <n v="3"/>
    <n v="41.88"/>
  </r>
  <r>
    <s v="CUST0304"/>
    <n v="33"/>
    <x v="0"/>
    <s v="WA"/>
    <s v="Married"/>
    <s v="Bachelor's"/>
    <n v="92.677999999999997"/>
    <n v="39.276000000000003"/>
    <n v="58"/>
    <n v="677.17"/>
    <x v="1"/>
    <s v="Rarely"/>
    <s v="Electronics"/>
    <x v="0"/>
    <n v="1"/>
    <n v="40.64"/>
  </r>
  <r>
    <s v="CUST0305"/>
    <n v="22"/>
    <x v="0"/>
    <s v="QLD"/>
    <s v="Married"/>
    <s v="Bachelor's"/>
    <n v="48.31"/>
    <n v="89.844999999999999"/>
    <n v="14"/>
    <n v="6417.5"/>
    <x v="0"/>
    <s v="Sometimes"/>
    <s v="Electronics"/>
    <x v="1"/>
    <n v="2"/>
    <n v="21.04"/>
  </r>
  <r>
    <s v="CUST0306"/>
    <n v="18"/>
    <x v="0"/>
    <s v="VIC"/>
    <s v="Widowed"/>
    <s v="Bachelor's"/>
    <n v="137.69800000000001"/>
    <n v="75.736000000000004"/>
    <n v="8"/>
    <n v="9467"/>
    <x v="0"/>
    <s v="Rarely"/>
    <s v="Sports"/>
    <x v="1"/>
    <n v="8"/>
    <n v="17.829999999999998"/>
  </r>
  <r>
    <s v="CUST0307"/>
    <n v="42"/>
    <x v="1"/>
    <s v="NT"/>
    <s v="Married"/>
    <s v="High School"/>
    <n v="146.02799999999999"/>
    <n v="38.142000000000003"/>
    <n v="76"/>
    <n v="501.87"/>
    <x v="0"/>
    <s v="Often"/>
    <s v="Home &amp; Kitchen"/>
    <x v="2"/>
    <n v="2"/>
    <n v="13.59"/>
  </r>
  <r>
    <s v="CUST0308"/>
    <n v="46"/>
    <x v="1"/>
    <s v="TAS"/>
    <s v="Married"/>
    <s v="Master's"/>
    <n v="171.721"/>
    <n v="7.3719999999999999"/>
    <n v="18"/>
    <n v="68.260000000000005"/>
    <x v="0"/>
    <s v="Often"/>
    <s v="Clothing"/>
    <x v="1"/>
    <n v="4"/>
    <n v="48.34"/>
  </r>
  <r>
    <s v="CUST0309"/>
    <n v="40"/>
    <x v="0"/>
    <s v="NT"/>
    <s v="Single"/>
    <s v="Bachelor's"/>
    <n v="144.48099999999999"/>
    <n v="54.445999999999998"/>
    <n v="45"/>
    <n v="1209.9100000000001"/>
    <x v="1"/>
    <s v="Rarely"/>
    <s v="Electronics"/>
    <x v="0"/>
    <n v="4"/>
    <n v="38.43"/>
  </r>
  <r>
    <s v="CUST0310"/>
    <n v="68"/>
    <x v="2"/>
    <s v="NSW"/>
    <s v="Single"/>
    <s v="High School"/>
    <n v="106.867"/>
    <n v="73.381"/>
    <n v="31"/>
    <n v="2367.13"/>
    <x v="0"/>
    <s v="Often"/>
    <s v="Beauty"/>
    <x v="0"/>
    <n v="1"/>
    <n v="7.31"/>
  </r>
  <r>
    <s v="CUST0311"/>
    <n v="73"/>
    <x v="0"/>
    <s v="SA"/>
    <s v="Divorced"/>
    <s v="High School"/>
    <n v="135.012"/>
    <n v="88.269000000000005"/>
    <n v="118"/>
    <n v="596.41"/>
    <x v="0"/>
    <s v="Sometimes"/>
    <s v="Clothing"/>
    <x v="1"/>
    <n v="7"/>
    <n v="45.92"/>
  </r>
  <r>
    <s v="CUST0312"/>
    <n v="33"/>
    <x v="1"/>
    <s v="NT"/>
    <s v="Divorced"/>
    <s v="High School"/>
    <n v="30.606999999999999"/>
    <n v="52.216000000000001"/>
    <n v="63"/>
    <n v="506.95"/>
    <x v="0"/>
    <s v="Sometimes"/>
    <s v="Beauty"/>
    <x v="0"/>
    <n v="5"/>
    <n v="31.27"/>
  </r>
  <r>
    <s v="CUST0313"/>
    <n v="67"/>
    <x v="0"/>
    <s v="WA"/>
    <s v="Married"/>
    <s v="Bachelor's"/>
    <n v="72.305000000000007"/>
    <n v="65.174000000000007"/>
    <n v="35"/>
    <n v="1862.11"/>
    <x v="0"/>
    <s v="Sometimes"/>
    <s v="Sports"/>
    <x v="1"/>
    <n v="4"/>
    <n v="6.41"/>
  </r>
  <r>
    <s v="CUST0314"/>
    <n v="33"/>
    <x v="0"/>
    <s v="SA"/>
    <s v="Single"/>
    <s v="Bachelor's"/>
    <n v="192.74299999999999"/>
    <n v="12.454000000000001"/>
    <n v="30"/>
    <n v="95.8"/>
    <x v="1"/>
    <s v="Sometimes"/>
    <s v="Home &amp; Kitchen"/>
    <x v="1"/>
    <n v="2"/>
    <n v="27.38"/>
  </r>
  <r>
    <s v="CUST0315"/>
    <n v="64"/>
    <x v="1"/>
    <s v="VIC"/>
    <s v="Married"/>
    <s v="Bachelor's"/>
    <n v="98.983999999999995"/>
    <n v="30.308"/>
    <n v="66"/>
    <n v="459.21"/>
    <x v="1"/>
    <s v="Rarely"/>
    <s v="Sports"/>
    <x v="2"/>
    <n v="5"/>
    <n v="6.69"/>
  </r>
  <r>
    <s v="CUST0316"/>
    <n v="21"/>
    <x v="2"/>
    <s v="ACT"/>
    <s v="Single"/>
    <s v="Bachelor's"/>
    <n v="36.567"/>
    <n v="21.396000000000001"/>
    <n v="93"/>
    <n v="230.06"/>
    <x v="0"/>
    <s v="Sometimes"/>
    <s v="Electronics"/>
    <x v="1"/>
    <n v="4"/>
    <n v="5.83"/>
  </r>
  <r>
    <s v="CUST0317"/>
    <n v="59"/>
    <x v="1"/>
    <s v="NT"/>
    <s v="Married"/>
    <s v="High School"/>
    <n v="149.339"/>
    <n v="28.696999999999999"/>
    <n v="80"/>
    <n v="358.71"/>
    <x v="0"/>
    <s v="Sometimes"/>
    <s v="Electronics"/>
    <x v="1"/>
    <n v="4"/>
    <n v="25.12"/>
  </r>
  <r>
    <s v="CUST0318"/>
    <n v="21"/>
    <x v="0"/>
    <s v="VIC"/>
    <s v="Single"/>
    <s v="Bachelor's"/>
    <n v="98.968000000000004"/>
    <n v="108.714"/>
    <n v="87"/>
    <n v="2313.06"/>
    <x v="0"/>
    <s v="Often"/>
    <s v="Electronics"/>
    <x v="0"/>
    <n v="6"/>
    <n v="47.37"/>
  </r>
  <r>
    <s v="CUST0319"/>
    <n v="74"/>
    <x v="1"/>
    <s v="NT"/>
    <s v="Single"/>
    <s v="Master's"/>
    <n v="217.44399999999999"/>
    <n v="41.234999999999999"/>
    <n v="38"/>
    <n v="298.8"/>
    <x v="0"/>
    <s v="Often"/>
    <s v="Home &amp; Kitchen"/>
    <x v="0"/>
    <n v="7"/>
    <n v="12.69"/>
  </r>
  <r>
    <s v="CUST0320"/>
    <n v="45"/>
    <x v="0"/>
    <s v="VIC"/>
    <s v="Married"/>
    <s v="Master's"/>
    <n v="180.666"/>
    <n v="54.036999999999999"/>
    <n v="28"/>
    <n v="4072.75"/>
    <x v="0"/>
    <s v="Rarely"/>
    <s v="Clothing"/>
    <x v="1"/>
    <n v="5"/>
    <n v="23.22"/>
  </r>
  <r>
    <s v="CUST0321"/>
    <n v="33"/>
    <x v="1"/>
    <s v="VIC"/>
    <s v="Single"/>
    <s v="Master's"/>
    <n v="234.82"/>
    <n v="24.859000000000002"/>
    <n v="13"/>
    <n v="920.96"/>
    <x v="0"/>
    <s v="Sometimes"/>
    <s v="Sports"/>
    <x v="0"/>
    <n v="4"/>
    <n v="32.46"/>
  </r>
  <r>
    <s v="CUST0322"/>
    <n v="31"/>
    <x v="1"/>
    <s v="QLD"/>
    <s v="Single"/>
    <s v="High School"/>
    <n v="225.416"/>
    <n v="34.957000000000001"/>
    <n v="48"/>
    <n v="236.2"/>
    <x v="0"/>
    <s v="Rarely"/>
    <s v="Home &amp; Kitchen"/>
    <x v="2"/>
    <n v="3"/>
    <n v="10.53"/>
  </r>
  <r>
    <s v="CUST0323"/>
    <n v="33"/>
    <x v="0"/>
    <s v="TAS"/>
    <s v="Married"/>
    <s v="Master's"/>
    <n v="180.89699999999999"/>
    <n v="70.081000000000003"/>
    <n v="95"/>
    <n v="483.32"/>
    <x v="0"/>
    <s v="Sometimes"/>
    <s v="Clothing"/>
    <x v="1"/>
    <n v="10"/>
    <n v="13.09"/>
  </r>
  <r>
    <s v="CUST0324"/>
    <n v="24"/>
    <x v="0"/>
    <s v="WA"/>
    <s v="Married"/>
    <s v="Bachelor's"/>
    <n v="48.506"/>
    <n v="56.091000000000001"/>
    <n v="11"/>
    <n v="10553.73"/>
    <x v="1"/>
    <s v="Sometimes"/>
    <s v="Electronics"/>
    <x v="0"/>
    <n v="9"/>
    <n v="15.89"/>
  </r>
  <r>
    <s v="CUST0325"/>
    <n v="52"/>
    <x v="1"/>
    <s v="SA"/>
    <s v="Single"/>
    <s v="High School"/>
    <n v="199.65299999999999"/>
    <n v="64.025000000000006"/>
    <n v="83"/>
    <n v="1253.31"/>
    <x v="0"/>
    <s v="Sometimes"/>
    <s v="Electronics"/>
    <x v="1"/>
    <n v="5"/>
    <n v="19.899999999999999"/>
  </r>
  <r>
    <s v="CUST0326"/>
    <n v="54"/>
    <x v="0"/>
    <s v="QLD"/>
    <s v="Married"/>
    <s v="Bachelor's"/>
    <n v="237.923"/>
    <n v="22.879000000000001"/>
    <n v="37"/>
    <n v="823.93"/>
    <x v="1"/>
    <s v="Rarely"/>
    <s v="Clothing"/>
    <x v="2"/>
    <n v="6"/>
    <n v="34.83"/>
  </r>
  <r>
    <s v="CUST0327"/>
    <n v="50"/>
    <x v="0"/>
    <s v="NSW"/>
    <s v="Single"/>
    <s v="High School"/>
    <n v="107.65300000000001"/>
    <n v="7.2770000000000001"/>
    <n v="11"/>
    <n v="55.55"/>
    <x v="1"/>
    <s v="Often"/>
    <s v="Beauty"/>
    <x v="2"/>
    <n v="10"/>
    <n v="3.64"/>
  </r>
  <r>
    <s v="CUST0328"/>
    <n v="68"/>
    <x v="0"/>
    <s v="NT"/>
    <s v="Divorced"/>
    <s v="High School"/>
    <n v="88.623000000000005"/>
    <n v="56.250999999999998"/>
    <n v="27"/>
    <n v="442.92"/>
    <x v="1"/>
    <s v="Often"/>
    <s v="Beauty"/>
    <x v="1"/>
    <n v="2"/>
    <n v="40.75"/>
  </r>
  <r>
    <s v="CUST0329"/>
    <n v="19"/>
    <x v="0"/>
    <s v="QLD"/>
    <s v="Single"/>
    <s v="Bachelor's"/>
    <n v="105.214"/>
    <n v="22.423999999999999"/>
    <n v="38"/>
    <n v="162.49"/>
    <x v="1"/>
    <s v="Rarely"/>
    <s v="Electronics"/>
    <x v="1"/>
    <n v="7"/>
    <n v="26"/>
  </r>
  <r>
    <s v="CUST0330"/>
    <n v="20"/>
    <x v="0"/>
    <s v="ACT"/>
    <s v="Divorced"/>
    <s v="Bachelor's"/>
    <n v="216.465"/>
    <n v="31.222999999999999"/>
    <n v="43"/>
    <n v="707.85"/>
    <x v="0"/>
    <s v="Sometimes"/>
    <s v="Clothing"/>
    <x v="1"/>
    <n v="6"/>
    <n v="49.71"/>
  </r>
  <r>
    <s v="CUST0331"/>
    <n v="29"/>
    <x v="1"/>
    <s v="WA"/>
    <s v="Single"/>
    <s v="High School"/>
    <n v="104.742"/>
    <n v="67.263999999999996"/>
    <n v="28"/>
    <n v="2402.29"/>
    <x v="0"/>
    <s v="Rarely"/>
    <s v="Sports"/>
    <x v="1"/>
    <n v="5"/>
    <n v="22.14"/>
  </r>
  <r>
    <s v="CUST0332"/>
    <n v="28"/>
    <x v="1"/>
    <s v="SA"/>
    <s v="Single"/>
    <s v="Bachelor's"/>
    <n v="41.683"/>
    <n v="37.622"/>
    <n v="99"/>
    <n v="885.07"/>
    <x v="0"/>
    <s v="Sometimes"/>
    <s v="Beauty"/>
    <x v="1"/>
    <n v="10"/>
    <n v="34.54"/>
  </r>
  <r>
    <s v="CUST0333"/>
    <n v="68"/>
    <x v="1"/>
    <s v="VIC"/>
    <s v="Divorced"/>
    <s v="Bachelor's"/>
    <n v="193.839"/>
    <n v="32.847000000000001"/>
    <n v="18"/>
    <n v="859.69"/>
    <x v="0"/>
    <s v="Always"/>
    <s v="Clothing"/>
    <x v="0"/>
    <n v="3"/>
    <n v="41.5"/>
  </r>
  <r>
    <s v="CUST0334"/>
    <n v="65"/>
    <x v="1"/>
    <s v="SA"/>
    <s v="Single"/>
    <s v="Bachelor's"/>
    <n v="247.977"/>
    <n v="38.247999999999998"/>
    <n v="24"/>
    <n v="308.45"/>
    <x v="0"/>
    <s v="Rarely"/>
    <s v="Home &amp; Kitchen"/>
    <x v="1"/>
    <n v="7"/>
    <n v="32.47"/>
  </r>
  <r>
    <s v="CUST0335"/>
    <n v="23"/>
    <x v="0"/>
    <s v="ACT"/>
    <s v="Married"/>
    <s v="PhD"/>
    <n v="131.10900000000001"/>
    <n v="20.559000000000001"/>
    <n v="56"/>
    <n v="367.12"/>
    <x v="0"/>
    <s v="Rarely"/>
    <s v="Clothing"/>
    <x v="2"/>
    <n v="10"/>
    <n v="45.49"/>
  </r>
  <r>
    <s v="CUST0336"/>
    <n v="71"/>
    <x v="1"/>
    <s v="WA"/>
    <s v="Married"/>
    <s v="High School"/>
    <n v="241.10499999999999"/>
    <n v="47.703000000000003"/>
    <n v="51"/>
    <n v="868.35"/>
    <x v="0"/>
    <s v="Sometimes"/>
    <s v="Home &amp; Kitchen"/>
    <x v="1"/>
    <n v="8"/>
    <n v="23.63"/>
  </r>
  <r>
    <s v="CUST0337"/>
    <n v="47"/>
    <x v="0"/>
    <s v="NSW"/>
    <s v="Divorced"/>
    <s v="Bachelor's"/>
    <n v="84.515000000000001"/>
    <n v="25.73"/>
    <n v="86"/>
    <n v="299.19"/>
    <x v="1"/>
    <s v="Rarely"/>
    <s v="Sports"/>
    <x v="1"/>
    <n v="3"/>
    <n v="2.09"/>
  </r>
  <r>
    <s v="CUST0338"/>
    <n v="60"/>
    <x v="1"/>
    <s v="ACT"/>
    <s v="Divorced"/>
    <s v="Master's"/>
    <n v="185.203"/>
    <n v="65.188000000000002"/>
    <n v="66"/>
    <n v="1593.76"/>
    <x v="0"/>
    <s v="Sometimes"/>
    <s v="Clothing"/>
    <x v="0"/>
    <n v="5"/>
    <n v="36.25"/>
  </r>
  <r>
    <s v="CUST0339"/>
    <n v="18"/>
    <x v="0"/>
    <s v="WA"/>
    <s v="Married"/>
    <s v="Master's"/>
    <n v="205.667"/>
    <n v="69.259"/>
    <n v="44"/>
    <n v="480.97"/>
    <x v="1"/>
    <s v="Sometimes"/>
    <s v="Beauty"/>
    <x v="2"/>
    <n v="4"/>
    <n v="8.57"/>
  </r>
  <r>
    <s v="CUST0340"/>
    <n v="72"/>
    <x v="1"/>
    <s v="NT"/>
    <s v="Married"/>
    <s v="Master's"/>
    <n v="224.208"/>
    <n v="21.105"/>
    <n v="62"/>
    <n v="340.4"/>
    <x v="0"/>
    <s v="Often"/>
    <s v="Sports"/>
    <x v="1"/>
    <n v="4"/>
    <n v="39.840000000000003"/>
  </r>
  <r>
    <s v="CUST0341"/>
    <n v="42"/>
    <x v="1"/>
    <s v="VIC"/>
    <s v="Single"/>
    <s v="Bachelor's"/>
    <n v="20.05"/>
    <n v="83.373000000000005"/>
    <n v="6"/>
    <n v="13895.5"/>
    <x v="0"/>
    <s v="Often"/>
    <s v="Home &amp; Kitchen"/>
    <x v="1"/>
    <n v="10"/>
    <n v="15.75"/>
  </r>
  <r>
    <s v="CUST0342"/>
    <n v="18"/>
    <x v="1"/>
    <s v="SA"/>
    <s v="Married"/>
    <s v="Bachelor's"/>
    <n v="238.172"/>
    <n v="49.087000000000003"/>
    <n v="58"/>
    <n v="1535.98"/>
    <x v="0"/>
    <s v="Often"/>
    <s v="Beauty"/>
    <x v="1"/>
    <n v="1"/>
    <n v="14.76"/>
  </r>
  <r>
    <s v="CUST0343"/>
    <n v="52"/>
    <x v="0"/>
    <s v="WA"/>
    <s v="Married"/>
    <s v="Bachelor's"/>
    <n v="28.158000000000001"/>
    <n v="31.585000000000001"/>
    <n v="80"/>
    <n v="394.81"/>
    <x v="0"/>
    <s v="Rarely"/>
    <s v="Home &amp; Kitchen"/>
    <x v="1"/>
    <n v="6"/>
    <n v="12.62"/>
  </r>
  <r>
    <s v="CUST0344"/>
    <n v="35"/>
    <x v="1"/>
    <s v="NT"/>
    <s v="Married"/>
    <s v="High School"/>
    <n v="98.497"/>
    <n v="8.7080000000000002"/>
    <n v="13"/>
    <n v="64.03"/>
    <x v="0"/>
    <s v="Rarely"/>
    <s v="Clothing"/>
    <x v="1"/>
    <n v="3"/>
    <n v="12.31"/>
  </r>
  <r>
    <s v="CUST0345"/>
    <n v="32"/>
    <x v="1"/>
    <s v="NT"/>
    <s v="Single"/>
    <s v="Master's"/>
    <n v="146.13"/>
    <n v="29.417000000000002"/>
    <n v="70"/>
    <n v="420.24"/>
    <x v="0"/>
    <s v="Rarely"/>
    <s v="Beauty"/>
    <x v="1"/>
    <n v="2"/>
    <n v="29.91"/>
  </r>
  <r>
    <s v="CUST0346"/>
    <n v="45"/>
    <x v="0"/>
    <s v="QLD"/>
    <s v="Single"/>
    <s v="Bachelor's"/>
    <n v="89.073999999999998"/>
    <n v="63.65"/>
    <n v="72"/>
    <n v="521.72"/>
    <x v="0"/>
    <s v="Sometimes"/>
    <s v="Sports"/>
    <x v="0"/>
    <n v="8"/>
    <n v="23.75"/>
  </r>
  <r>
    <s v="CUST0347"/>
    <n v="68"/>
    <x v="0"/>
    <s v="VIC"/>
    <s v="Married"/>
    <s v="Master's"/>
    <n v="70.206999999999994"/>
    <n v="37.139000000000003"/>
    <n v="93"/>
    <n v="1152.03"/>
    <x v="1"/>
    <s v="Often"/>
    <s v="Beauty"/>
    <x v="2"/>
    <n v="5"/>
    <n v="30.94"/>
  </r>
  <r>
    <s v="CUST0348"/>
    <n v="69"/>
    <x v="1"/>
    <s v="WA"/>
    <s v="Single"/>
    <s v="Master's"/>
    <n v="152.38"/>
    <n v="59.518999999999998"/>
    <n v="52"/>
    <n v="912.66"/>
    <x v="0"/>
    <s v="Sometimes"/>
    <s v="Home &amp; Kitchen"/>
    <x v="1"/>
    <n v="2"/>
    <n v="1.58"/>
  </r>
  <r>
    <s v="CUST0349"/>
    <n v="35"/>
    <x v="1"/>
    <s v="ACT"/>
    <s v="Married"/>
    <s v="Bachelor's"/>
    <n v="185.78100000000001"/>
    <n v="53.723999999999997"/>
    <n v="25"/>
    <n v="429.79"/>
    <x v="1"/>
    <s v="Sometimes"/>
    <s v="Clothing"/>
    <x v="2"/>
    <n v="1"/>
    <n v="32.520000000000003"/>
  </r>
  <r>
    <s v="CUST0350"/>
    <n v="18"/>
    <x v="1"/>
    <s v="QLD"/>
    <s v="Married"/>
    <s v="Bachelor's"/>
    <n v="126.98399999999999"/>
    <n v="36.396000000000001"/>
    <n v="10"/>
    <n v="967.24"/>
    <x v="0"/>
    <s v="Often"/>
    <s v="Sports"/>
    <x v="1"/>
    <n v="5"/>
    <n v="47.74"/>
  </r>
  <r>
    <s v="CUST0351"/>
    <n v="49"/>
    <x v="0"/>
    <s v="TAS"/>
    <s v="Widowed"/>
    <s v="Master's"/>
    <n v="123.03700000000001"/>
    <n v="28.404"/>
    <n v="83"/>
    <n v="342.22"/>
    <x v="1"/>
    <s v="Often"/>
    <s v="Home &amp; Kitchen"/>
    <x v="0"/>
    <n v="8"/>
    <n v="32.270000000000003"/>
  </r>
  <r>
    <s v="CUST0352"/>
    <n v="64"/>
    <x v="1"/>
    <s v="WA"/>
    <s v="Married"/>
    <s v="Master's"/>
    <n v="139.10900000000001"/>
    <n v="56.265999999999998"/>
    <n v="36"/>
    <n v="413.72"/>
    <x v="1"/>
    <s v="Sometimes"/>
    <s v="Clothing"/>
    <x v="1"/>
    <n v="6"/>
    <n v="29.48"/>
  </r>
  <r>
    <s v="CUST0353"/>
    <n v="42"/>
    <x v="1"/>
    <s v="NT"/>
    <s v="Single"/>
    <s v="Bachelor's"/>
    <n v="230.02699999999999"/>
    <n v="65.697000000000003"/>
    <n v="96"/>
    <n v="684.34"/>
    <x v="1"/>
    <s v="Sometimes"/>
    <s v="Electronics"/>
    <x v="0"/>
    <n v="2"/>
    <n v="25.37"/>
  </r>
  <r>
    <s v="CUST0354"/>
    <n v="25"/>
    <x v="2"/>
    <s v="SA"/>
    <s v="Married"/>
    <s v="High School"/>
    <n v="75.406000000000006"/>
    <n v="56.802999999999997"/>
    <n v="72"/>
    <n v="788.93"/>
    <x v="0"/>
    <s v="Sometimes"/>
    <s v="Sports"/>
    <x v="0"/>
    <n v="9"/>
    <n v="27.57"/>
  </r>
  <r>
    <s v="CUST0355"/>
    <n v="29"/>
    <x v="0"/>
    <s v="NSW"/>
    <s v="Married"/>
    <s v="Master's"/>
    <n v="71.430000000000007"/>
    <n v="68.638000000000005"/>
    <n v="16"/>
    <n v="5539.88"/>
    <x v="0"/>
    <s v="Sometimes"/>
    <s v="Electronics"/>
    <x v="0"/>
    <n v="7"/>
    <n v="35.06"/>
  </r>
  <r>
    <s v="CUST0356"/>
    <n v="56"/>
    <x v="2"/>
    <s v="TAS"/>
    <s v="Single"/>
    <s v="Master's"/>
    <n v="201.887"/>
    <n v="67.024000000000001"/>
    <n v="67"/>
    <n v="1000.36"/>
    <x v="0"/>
    <s v="Sometimes"/>
    <s v="Sports"/>
    <x v="0"/>
    <n v="10"/>
    <n v="37.06"/>
  </r>
  <r>
    <s v="CUST0357"/>
    <n v="24"/>
    <x v="1"/>
    <s v="ACT"/>
    <s v="Married"/>
    <s v="Bachelor's"/>
    <n v="87.07"/>
    <n v="23.2"/>
    <n v="49"/>
    <n v="155.69999999999999"/>
    <x v="0"/>
    <s v="Often"/>
    <s v="Beauty"/>
    <x v="2"/>
    <n v="10"/>
    <n v="2.38"/>
  </r>
  <r>
    <s v="CUST0358"/>
    <n v="54"/>
    <x v="1"/>
    <s v="ACT"/>
    <s v="Married"/>
    <s v="High School"/>
    <n v="122.812"/>
    <n v="49.152999999999999"/>
    <n v="45"/>
    <n v="949.16"/>
    <x v="0"/>
    <s v="Sometimes"/>
    <s v="Beauty"/>
    <x v="2"/>
    <n v="2"/>
    <n v="44.91"/>
  </r>
  <r>
    <s v="CUST0359"/>
    <n v="36"/>
    <x v="0"/>
    <s v="VIC"/>
    <s v="Married"/>
    <s v="Bachelor's"/>
    <n v="227.97200000000001"/>
    <n v="52.996000000000002"/>
    <n v="57"/>
    <n v="452.96"/>
    <x v="0"/>
    <s v="Often"/>
    <s v="Clothing"/>
    <x v="1"/>
    <n v="7"/>
    <n v="30.51"/>
  </r>
  <r>
    <s v="CUST0360"/>
    <n v="33"/>
    <x v="1"/>
    <s v="WA"/>
    <s v="Single"/>
    <s v="High School"/>
    <n v="194.36099999999999"/>
    <n v="26.882000000000001"/>
    <n v="45"/>
    <n v="597.38"/>
    <x v="1"/>
    <s v="Rarely"/>
    <s v="Clothing"/>
    <x v="0"/>
    <n v="5"/>
    <n v="44.07"/>
  </r>
  <r>
    <s v="CUST0361"/>
    <n v="48"/>
    <x v="0"/>
    <s v="TAS"/>
    <s v="Single"/>
    <s v="Master's"/>
    <n v="172.84399999999999"/>
    <n v="52.482999999999997"/>
    <n v="92"/>
    <n v="1005.25"/>
    <x v="1"/>
    <s v="Sometimes"/>
    <s v="Beauty"/>
    <x v="2"/>
    <n v="2"/>
    <n v="36.17"/>
  </r>
  <r>
    <s v="CUST0362"/>
    <n v="29"/>
    <x v="1"/>
    <s v="WA"/>
    <s v="Single"/>
    <s v="High School"/>
    <n v="194.816"/>
    <n v="55.899000000000001"/>
    <n v="53"/>
    <n v="600.69000000000005"/>
    <x v="0"/>
    <s v="Sometimes"/>
    <s v="Electronics"/>
    <x v="0"/>
    <n v="6"/>
    <n v="23.29"/>
  </r>
  <r>
    <s v="CUST0363"/>
    <n v="56"/>
    <x v="1"/>
    <s v="NT"/>
    <s v="Divorced"/>
    <s v="High School"/>
    <n v="237.01400000000001"/>
    <n v="45.930999999999997"/>
    <n v="43"/>
    <n v="600.91999999999996"/>
    <x v="1"/>
    <s v="Rarely"/>
    <s v="Clothing"/>
    <x v="0"/>
    <n v="6"/>
    <n v="21.56"/>
  </r>
  <r>
    <s v="CUST0364"/>
    <n v="32"/>
    <x v="1"/>
    <s v="NSW"/>
    <s v="Single"/>
    <s v="PhD"/>
    <n v="123.80500000000001"/>
    <n v="44.101999999999997"/>
    <n v="65"/>
    <n v="1755.42"/>
    <x v="0"/>
    <s v="Often"/>
    <s v="Clothing"/>
    <x v="1"/>
    <n v="9"/>
    <n v="7.5"/>
  </r>
  <r>
    <s v="CUST0365"/>
    <n v="65"/>
    <x v="0"/>
    <s v="VIC"/>
    <s v="Single"/>
    <s v="Bachelor's"/>
    <n v="184.08"/>
    <n v="56.399000000000001"/>
    <n v="50"/>
    <n v="575.99"/>
    <x v="0"/>
    <s v="Often"/>
    <s v="Home &amp; Kitchen"/>
    <x v="1"/>
    <n v="3"/>
    <n v="23.87"/>
  </r>
  <r>
    <s v="CUST0366"/>
    <n v="50"/>
    <x v="0"/>
    <s v="SA"/>
    <s v="Married"/>
    <s v="High School"/>
    <n v="70.733999999999995"/>
    <n v="28.715"/>
    <n v="33"/>
    <n v="870.15"/>
    <x v="0"/>
    <s v="Sometimes"/>
    <s v="Home &amp; Kitchen"/>
    <x v="0"/>
    <n v="1"/>
    <n v="47.71"/>
  </r>
  <r>
    <s v="CUST0367"/>
    <n v="57"/>
    <x v="1"/>
    <s v="SA"/>
    <s v="Married"/>
    <s v="Bachelor's"/>
    <n v="184.10900000000001"/>
    <n v="68.61"/>
    <n v="99"/>
    <n v="693.03"/>
    <x v="0"/>
    <s v="Often"/>
    <s v="Sports"/>
    <x v="0"/>
    <n v="9"/>
    <n v="17.5"/>
  </r>
  <r>
    <s v="CUST0368"/>
    <n v="62"/>
    <x v="0"/>
    <s v="SA"/>
    <s v="Single"/>
    <s v="Bachelor's"/>
    <n v="54.488999999999997"/>
    <n v="46.334000000000003"/>
    <n v="44"/>
    <n v="615.6"/>
    <x v="1"/>
    <s v="Often"/>
    <s v="Beauty"/>
    <x v="1"/>
    <n v="7"/>
    <n v="18.399999999999999"/>
  </r>
  <r>
    <s v="CUST0369"/>
    <n v="37"/>
    <x v="2"/>
    <s v="NT"/>
    <s v="Divorced"/>
    <s v="Bachelor's"/>
    <n v="75.503"/>
    <n v="52.887"/>
    <n v="57"/>
    <n v="416.43"/>
    <x v="0"/>
    <s v="Rarely"/>
    <s v="Home &amp; Kitchen"/>
    <x v="2"/>
    <n v="3"/>
    <n v="2.16"/>
  </r>
  <r>
    <s v="CUST0370"/>
    <n v="63"/>
    <x v="1"/>
    <s v="TAS"/>
    <s v="Single"/>
    <s v="High School"/>
    <n v="51.195"/>
    <n v="60.918999999999997"/>
    <n v="65"/>
    <n v="937.22"/>
    <x v="1"/>
    <s v="Sometimes"/>
    <s v="Electronics"/>
    <x v="0"/>
    <n v="8"/>
    <n v="44.71"/>
  </r>
  <r>
    <s v="CUST0371"/>
    <n v="51"/>
    <x v="0"/>
    <s v="VIC"/>
    <s v="Single"/>
    <s v="High School"/>
    <n v="25.786000000000001"/>
    <n v="58.548000000000002"/>
    <n v="52"/>
    <n v="522.75"/>
    <x v="0"/>
    <s v="Often"/>
    <s v="Electronics"/>
    <x v="0"/>
    <n v="1"/>
    <n v="49.02"/>
  </r>
  <r>
    <s v="CUST0372"/>
    <n v="67"/>
    <x v="1"/>
    <s v="VIC"/>
    <s v="Married"/>
    <s v="PhD"/>
    <n v="222.91499999999999"/>
    <n v="66.304000000000002"/>
    <n v="6"/>
    <n v="19384"/>
    <x v="0"/>
    <s v="Rarely"/>
    <s v="Home &amp; Kitchen"/>
    <x v="0"/>
    <n v="7"/>
    <n v="40.25"/>
  </r>
  <r>
    <s v="CUST0373"/>
    <n v="33"/>
    <x v="2"/>
    <s v="QLD"/>
    <s v="Married"/>
    <s v="Master's"/>
    <n v="162.52500000000001"/>
    <n v="50.298000000000002"/>
    <n v="41"/>
    <n v="1226.78"/>
    <x v="0"/>
    <s v="Sometimes"/>
    <s v="Electronics"/>
    <x v="0"/>
    <n v="8"/>
    <n v="42.84"/>
  </r>
  <r>
    <s v="CUST0374"/>
    <n v="42"/>
    <x v="0"/>
    <s v="TAS"/>
    <s v="Single"/>
    <s v="High School"/>
    <n v="143.54400000000001"/>
    <n v="68.683000000000007"/>
    <n v="38"/>
    <n v="2860.08"/>
    <x v="1"/>
    <s v="Often"/>
    <s v="Clothing"/>
    <x v="0"/>
    <n v="2"/>
    <n v="6.37"/>
  </r>
  <r>
    <s v="CUST0375"/>
    <n v="35"/>
    <x v="0"/>
    <s v="SA"/>
    <s v="Single"/>
    <s v="Bachelor's"/>
    <n v="108.657"/>
    <n v="47.271999999999998"/>
    <n v="68"/>
    <n v="695.18"/>
    <x v="1"/>
    <s v="Often"/>
    <s v="Beauty"/>
    <x v="1"/>
    <n v="6"/>
    <n v="20.399999999999999"/>
  </r>
  <r>
    <s v="CUST0376"/>
    <n v="26"/>
    <x v="0"/>
    <s v="NSW"/>
    <s v="Single"/>
    <s v="Bachelor's"/>
    <n v="75.454999999999998"/>
    <n v="22.423999999999999"/>
    <n v="15"/>
    <n v="194.99"/>
    <x v="0"/>
    <s v="Sometimes"/>
    <s v="Sports"/>
    <x v="1"/>
    <n v="1"/>
    <n v="44.33"/>
  </r>
  <r>
    <s v="CUST0377"/>
    <n v="49"/>
    <x v="0"/>
    <s v="SA"/>
    <s v="Single"/>
    <s v="Bachelor's"/>
    <n v="249.06200000000001"/>
    <n v="36.564"/>
    <n v="27"/>
    <n v="3206.07"/>
    <x v="1"/>
    <s v="Often"/>
    <s v="Sports"/>
    <x v="0"/>
    <n v="5"/>
    <n v="23.91"/>
  </r>
  <r>
    <s v="CUST0378"/>
    <n v="45"/>
    <x v="0"/>
    <s v="NT"/>
    <s v="Widowed"/>
    <s v="Bachelor's"/>
    <n v="36.906999999999996"/>
    <n v="13.78"/>
    <n v="14"/>
    <n v="95.69"/>
    <x v="0"/>
    <s v="Often"/>
    <s v="Beauty"/>
    <x v="1"/>
    <n v="4"/>
    <n v="35.979999999999997"/>
  </r>
  <r>
    <s v="CUST0379"/>
    <n v="26"/>
    <x v="0"/>
    <s v="VIC"/>
    <s v="Divorced"/>
    <s v="Bachelor's"/>
    <n v="173.97399999999999"/>
    <n v="55.085999999999999"/>
    <n v="57"/>
    <n v="898.17"/>
    <x v="1"/>
    <s v="Sometimes"/>
    <s v="Beauty"/>
    <x v="0"/>
    <n v="8"/>
    <n v="19.28"/>
  </r>
  <r>
    <s v="CUST0380"/>
    <n v="52"/>
    <x v="0"/>
    <s v="QLD"/>
    <s v="Single"/>
    <s v="PhD"/>
    <n v="79.894999999999996"/>
    <n v="31.138999999999999"/>
    <n v="63"/>
    <n v="1605.38"/>
    <x v="0"/>
    <s v="Always"/>
    <s v="Clothing"/>
    <x v="1"/>
    <n v="1"/>
    <n v="26.39"/>
  </r>
  <r>
    <s v="CUST0381"/>
    <n v="53"/>
    <x v="1"/>
    <s v="NT"/>
    <s v="Married"/>
    <s v="High School"/>
    <n v="158.65"/>
    <n v="60.865000000000002"/>
    <n v="44"/>
    <n v="422.67"/>
    <x v="0"/>
    <s v="Rarely"/>
    <s v="Sports"/>
    <x v="0"/>
    <n v="5"/>
    <n v="12.12"/>
  </r>
  <r>
    <s v="CUST0382"/>
    <n v="28"/>
    <x v="1"/>
    <s v="WA"/>
    <s v="Single"/>
    <s v="Bachelor's"/>
    <n v="245.9"/>
    <n v="53.237000000000002"/>
    <n v="35"/>
    <n v="838.79"/>
    <x v="0"/>
    <s v="Sometimes"/>
    <s v="Sports"/>
    <x v="0"/>
    <n v="1"/>
    <n v="24.45"/>
  </r>
  <r>
    <s v="CUST0383"/>
    <n v="54"/>
    <x v="1"/>
    <s v="TAS"/>
    <s v="Married"/>
    <s v="Master's"/>
    <n v="88.897999999999996"/>
    <n v="10.146000000000001"/>
    <n v="6"/>
    <n v="1691"/>
    <x v="0"/>
    <s v="Sometimes"/>
    <s v="Home &amp; Kitchen"/>
    <x v="1"/>
    <n v="5"/>
    <n v="22.65"/>
  </r>
  <r>
    <s v="CUST0384"/>
    <n v="58"/>
    <x v="0"/>
    <s v="QLD"/>
    <s v="Single"/>
    <s v="High School"/>
    <n v="238.09100000000001"/>
    <n v="42.595999999999997"/>
    <n v="38"/>
    <n v="1120.95"/>
    <x v="0"/>
    <s v="Sometimes"/>
    <s v="Beauty"/>
    <x v="0"/>
    <n v="5"/>
    <n v="25.12"/>
  </r>
  <r>
    <s v="CUST0385"/>
    <n v="68"/>
    <x v="1"/>
    <s v="VIC"/>
    <s v="Single"/>
    <s v="Bachelor's"/>
    <n v="217.90799999999999"/>
    <n v="39.588000000000001"/>
    <n v="50"/>
    <n v="263.92"/>
    <x v="0"/>
    <s v="Sometimes"/>
    <s v="Clothing"/>
    <x v="1"/>
    <n v="9"/>
    <n v="38.700000000000003"/>
  </r>
  <r>
    <s v="CUST0386"/>
    <n v="37"/>
    <x v="0"/>
    <s v="VIC"/>
    <s v="Single"/>
    <s v="Bachelor's"/>
    <n v="238.964"/>
    <n v="28.082000000000001"/>
    <n v="45"/>
    <n v="624.04"/>
    <x v="0"/>
    <s v="Sometimes"/>
    <s v="Sports"/>
    <x v="0"/>
    <n v="6"/>
    <n v="35.56"/>
  </r>
  <r>
    <s v="CUST0387"/>
    <n v="67"/>
    <x v="0"/>
    <s v="NT"/>
    <s v="Divorced"/>
    <s v="Master's"/>
    <n v="73.647999999999996"/>
    <n v="47.07"/>
    <n v="51"/>
    <n v="922.94"/>
    <x v="0"/>
    <s v="Rarely"/>
    <s v="Sports"/>
    <x v="1"/>
    <n v="4"/>
    <n v="19.690000000000001"/>
  </r>
  <r>
    <s v="CUST0388"/>
    <n v="29"/>
    <x v="0"/>
    <s v="WA"/>
    <s v="Divorced"/>
    <s v="Bachelor's"/>
    <n v="177.67099999999999"/>
    <n v="47.037999999999997"/>
    <n v="77"/>
    <n v="610.88"/>
    <x v="0"/>
    <s v="Sometimes"/>
    <s v="Sports"/>
    <x v="0"/>
    <n v="5"/>
    <n v="14.03"/>
  </r>
  <r>
    <s v="CUST0389"/>
    <n v="42"/>
    <x v="0"/>
    <s v="VIC"/>
    <s v="Married"/>
    <s v="Bachelor's"/>
    <n v="103.938"/>
    <n v="38.031999999999996"/>
    <n v="39"/>
    <n v="777.21"/>
    <x v="1"/>
    <s v="Always"/>
    <s v="Home &amp; Kitchen"/>
    <x v="0"/>
    <n v="7"/>
    <n v="25.81"/>
  </r>
  <r>
    <s v="CUST0390"/>
    <n v="58"/>
    <x v="1"/>
    <s v="TAS"/>
    <s v="Single"/>
    <s v="Bachelor's"/>
    <n v="167.89599999999999"/>
    <n v="61.677"/>
    <n v="88"/>
    <n v="1155.42"/>
    <x v="0"/>
    <s v="Sometimes"/>
    <s v="Beauty"/>
    <x v="0"/>
    <n v="4"/>
    <n v="18.260000000000002"/>
  </r>
  <r>
    <s v="CUST0391"/>
    <n v="46"/>
    <x v="1"/>
    <s v="QLD"/>
    <s v="Widowed"/>
    <s v="High School"/>
    <n v="56.936"/>
    <n v="29.225000000000001"/>
    <n v="13"/>
    <n v="789.6"/>
    <x v="0"/>
    <s v="Rarely"/>
    <s v="Clothing"/>
    <x v="1"/>
    <n v="3"/>
    <n v="19.690000000000001"/>
  </r>
  <r>
    <s v="CUST0392"/>
    <n v="35"/>
    <x v="1"/>
    <s v="QLD"/>
    <s v="Divorced"/>
    <s v="Master's"/>
    <n v="88.338999999999999"/>
    <n v="53.48"/>
    <n v="43"/>
    <n v="793.57"/>
    <x v="0"/>
    <s v="Always"/>
    <s v="Sports"/>
    <x v="1"/>
    <n v="6"/>
    <n v="42.22"/>
  </r>
  <r>
    <s v="CUST0393"/>
    <n v="74"/>
    <x v="1"/>
    <s v="NT"/>
    <s v="Married"/>
    <s v="Master's"/>
    <n v="110.081"/>
    <n v="36.409999999999997"/>
    <n v="65"/>
    <n v="560.15"/>
    <x v="0"/>
    <s v="Often"/>
    <s v="Electronics"/>
    <x v="0"/>
    <n v="9"/>
    <n v="12.29"/>
  </r>
  <r>
    <s v="CUST0394"/>
    <n v="53"/>
    <x v="0"/>
    <s v="ACT"/>
    <s v="Single"/>
    <s v="Bachelor's"/>
    <n v="24.175000000000001"/>
    <n v="33.863"/>
    <n v="35"/>
    <n v="843.43"/>
    <x v="0"/>
    <s v="Often"/>
    <s v="Beauty"/>
    <x v="0"/>
    <n v="8"/>
    <n v="35.369999999999997"/>
  </r>
  <r>
    <s v="CUST0395"/>
    <n v="75"/>
    <x v="0"/>
    <s v="VIC"/>
    <s v="Married"/>
    <s v="Bachelor's"/>
    <n v="29.983000000000001"/>
    <n v="93.712999999999994"/>
    <n v="17"/>
    <n v="5512.53"/>
    <x v="0"/>
    <s v="Sometimes"/>
    <s v="Sports"/>
    <x v="1"/>
    <n v="6"/>
    <n v="18.670000000000002"/>
  </r>
  <r>
    <s v="CUST0396"/>
    <n v="47"/>
    <x v="0"/>
    <s v="WA"/>
    <s v="Single"/>
    <s v="Master's"/>
    <n v="207.072"/>
    <n v="47.353000000000002"/>
    <n v="88"/>
    <n v="538.1"/>
    <x v="1"/>
    <s v="Rarely"/>
    <s v="Electronics"/>
    <x v="1"/>
    <n v="8"/>
    <n v="17.36"/>
  </r>
  <r>
    <s v="CUST0397"/>
    <n v="71"/>
    <x v="1"/>
    <s v="TAS"/>
    <s v="Single"/>
    <s v="Bachelor's"/>
    <n v="95.131"/>
    <n v="19.672999999999998"/>
    <n v="11"/>
    <n v="887.85"/>
    <x v="0"/>
    <s v="Sometimes"/>
    <s v="Sports"/>
    <x v="1"/>
    <n v="3"/>
    <n v="14"/>
  </r>
  <r>
    <s v="CUST0398"/>
    <n v="57"/>
    <x v="1"/>
    <s v="TAS"/>
    <s v="Married"/>
    <s v="Bachelor's"/>
    <n v="120.122"/>
    <n v="123.724"/>
    <n v="104"/>
    <n v="997.35"/>
    <x v="0"/>
    <s v="Rarely"/>
    <s v="Clothing"/>
    <x v="1"/>
    <n v="10"/>
    <n v="5.79"/>
  </r>
  <r>
    <s v="CUST0399"/>
    <n v="70"/>
    <x v="1"/>
    <s v="ACT"/>
    <s v="Married"/>
    <s v="High School"/>
    <n v="72.179000000000002"/>
    <n v="12.815"/>
    <n v="26"/>
    <n v="492.88"/>
    <x v="1"/>
    <s v="Often"/>
    <s v="Beauty"/>
    <x v="0"/>
    <n v="10"/>
    <n v="9.17"/>
  </r>
  <r>
    <s v="CUST0400"/>
    <n v="51"/>
    <x v="1"/>
    <s v="TAS"/>
    <s v="Single"/>
    <s v="Master's"/>
    <n v="91.25"/>
    <n v="22.757000000000001"/>
    <n v="84"/>
    <n v="270.92"/>
    <x v="0"/>
    <s v="Sometimes"/>
    <s v="Home &amp; Kitchen"/>
    <x v="1"/>
    <n v="7"/>
    <n v="25.8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x v="0"/>
    <x v="0"/>
  </r>
  <r>
    <x v="1"/>
    <x v="1"/>
    <x v="1"/>
  </r>
  <r>
    <x v="2"/>
    <x v="1"/>
    <x v="2"/>
  </r>
  <r>
    <x v="3"/>
    <x v="1"/>
    <x v="3"/>
  </r>
  <r>
    <x v="4"/>
    <x v="1"/>
    <x v="3"/>
  </r>
  <r>
    <x v="5"/>
    <x v="1"/>
    <x v="2"/>
  </r>
  <r>
    <x v="6"/>
    <x v="1"/>
    <x v="0"/>
  </r>
  <r>
    <x v="7"/>
    <x v="1"/>
    <x v="2"/>
  </r>
  <r>
    <x v="8"/>
    <x v="1"/>
    <x v="0"/>
  </r>
  <r>
    <x v="9"/>
    <x v="1"/>
    <x v="3"/>
  </r>
  <r>
    <x v="3"/>
    <x v="1"/>
    <x v="3"/>
  </r>
  <r>
    <x v="10"/>
    <x v="0"/>
    <x v="2"/>
  </r>
  <r>
    <x v="5"/>
    <x v="1"/>
    <x v="2"/>
  </r>
  <r>
    <x v="11"/>
    <x v="2"/>
    <x v="3"/>
  </r>
  <r>
    <x v="12"/>
    <x v="2"/>
    <x v="3"/>
  </r>
  <r>
    <x v="13"/>
    <x v="1"/>
    <x v="0"/>
  </r>
  <r>
    <x v="14"/>
    <x v="2"/>
    <x v="3"/>
  </r>
  <r>
    <x v="14"/>
    <x v="0"/>
    <x v="3"/>
  </r>
  <r>
    <x v="15"/>
    <x v="1"/>
    <x v="3"/>
  </r>
  <r>
    <x v="16"/>
    <x v="1"/>
    <x v="1"/>
  </r>
  <r>
    <x v="17"/>
    <x v="0"/>
    <x v="0"/>
  </r>
  <r>
    <x v="10"/>
    <x v="0"/>
    <x v="2"/>
  </r>
  <r>
    <x v="18"/>
    <x v="1"/>
    <x v="1"/>
  </r>
  <r>
    <x v="17"/>
    <x v="0"/>
    <x v="0"/>
  </r>
  <r>
    <x v="19"/>
    <x v="0"/>
    <x v="2"/>
  </r>
  <r>
    <x v="3"/>
    <x v="1"/>
    <x v="3"/>
  </r>
  <r>
    <x v="1"/>
    <x v="1"/>
    <x v="1"/>
  </r>
  <r>
    <x v="20"/>
    <x v="2"/>
    <x v="2"/>
  </r>
  <r>
    <x v="21"/>
    <x v="2"/>
    <x v="2"/>
  </r>
  <r>
    <x v="6"/>
    <x v="2"/>
    <x v="0"/>
  </r>
  <r>
    <x v="22"/>
    <x v="0"/>
    <x v="0"/>
  </r>
  <r>
    <x v="23"/>
    <x v="1"/>
    <x v="1"/>
  </r>
  <r>
    <x v="24"/>
    <x v="1"/>
    <x v="0"/>
  </r>
  <r>
    <x v="25"/>
    <x v="2"/>
    <x v="0"/>
  </r>
  <r>
    <x v="26"/>
    <x v="1"/>
    <x v="2"/>
  </r>
  <r>
    <x v="27"/>
    <x v="2"/>
    <x v="0"/>
  </r>
  <r>
    <x v="28"/>
    <x v="1"/>
    <x v="1"/>
  </r>
  <r>
    <x v="18"/>
    <x v="2"/>
    <x v="1"/>
  </r>
  <r>
    <x v="15"/>
    <x v="1"/>
    <x v="3"/>
  </r>
  <r>
    <x v="29"/>
    <x v="0"/>
    <x v="3"/>
  </r>
  <r>
    <x v="30"/>
    <x v="0"/>
    <x v="1"/>
  </r>
  <r>
    <x v="31"/>
    <x v="0"/>
    <x v="3"/>
  </r>
  <r>
    <x v="32"/>
    <x v="2"/>
    <x v="3"/>
  </r>
  <r>
    <x v="33"/>
    <x v="0"/>
    <x v="1"/>
  </r>
  <r>
    <x v="14"/>
    <x v="1"/>
    <x v="3"/>
  </r>
  <r>
    <x v="14"/>
    <x v="1"/>
    <x v="3"/>
  </r>
  <r>
    <x v="1"/>
    <x v="2"/>
    <x v="1"/>
  </r>
  <r>
    <x v="9"/>
    <x v="1"/>
    <x v="3"/>
  </r>
  <r>
    <x v="25"/>
    <x v="1"/>
    <x v="0"/>
  </r>
  <r>
    <x v="1"/>
    <x v="1"/>
    <x v="1"/>
  </r>
  <r>
    <x v="34"/>
    <x v="0"/>
    <x v="2"/>
  </r>
  <r>
    <x v="35"/>
    <x v="0"/>
    <x v="1"/>
  </r>
  <r>
    <x v="7"/>
    <x v="0"/>
    <x v="2"/>
  </r>
  <r>
    <x v="12"/>
    <x v="2"/>
    <x v="3"/>
  </r>
  <r>
    <x v="36"/>
    <x v="1"/>
    <x v="1"/>
  </r>
  <r>
    <x v="37"/>
    <x v="1"/>
    <x v="0"/>
  </r>
  <r>
    <x v="30"/>
    <x v="0"/>
    <x v="1"/>
  </r>
  <r>
    <x v="17"/>
    <x v="1"/>
    <x v="0"/>
  </r>
  <r>
    <x v="6"/>
    <x v="0"/>
    <x v="0"/>
  </r>
  <r>
    <x v="3"/>
    <x v="1"/>
    <x v="3"/>
  </r>
  <r>
    <x v="28"/>
    <x v="2"/>
    <x v="1"/>
  </r>
  <r>
    <x v="38"/>
    <x v="0"/>
    <x v="0"/>
  </r>
  <r>
    <x v="20"/>
    <x v="1"/>
    <x v="2"/>
  </r>
  <r>
    <x v="10"/>
    <x v="1"/>
    <x v="2"/>
  </r>
  <r>
    <x v="27"/>
    <x v="1"/>
    <x v="0"/>
  </r>
  <r>
    <x v="39"/>
    <x v="0"/>
    <x v="2"/>
  </r>
  <r>
    <x v="40"/>
    <x v="0"/>
    <x v="3"/>
  </r>
  <r>
    <x v="37"/>
    <x v="0"/>
    <x v="0"/>
  </r>
  <r>
    <x v="22"/>
    <x v="2"/>
    <x v="0"/>
  </r>
  <r>
    <x v="29"/>
    <x v="1"/>
    <x v="3"/>
  </r>
  <r>
    <x v="37"/>
    <x v="0"/>
    <x v="0"/>
  </r>
  <r>
    <x v="23"/>
    <x v="0"/>
    <x v="1"/>
  </r>
  <r>
    <x v="41"/>
    <x v="2"/>
    <x v="3"/>
  </r>
  <r>
    <x v="7"/>
    <x v="1"/>
    <x v="2"/>
  </r>
  <r>
    <x v="42"/>
    <x v="0"/>
    <x v="0"/>
  </r>
  <r>
    <x v="43"/>
    <x v="1"/>
    <x v="2"/>
  </r>
  <r>
    <x v="14"/>
    <x v="0"/>
    <x v="3"/>
  </r>
  <r>
    <x v="3"/>
    <x v="0"/>
    <x v="3"/>
  </r>
  <r>
    <x v="11"/>
    <x v="2"/>
    <x v="3"/>
  </r>
  <r>
    <x v="23"/>
    <x v="1"/>
    <x v="1"/>
  </r>
  <r>
    <x v="28"/>
    <x v="1"/>
    <x v="1"/>
  </r>
  <r>
    <x v="7"/>
    <x v="0"/>
    <x v="2"/>
  </r>
  <r>
    <x v="12"/>
    <x v="1"/>
    <x v="3"/>
  </r>
  <r>
    <x v="18"/>
    <x v="1"/>
    <x v="1"/>
  </r>
  <r>
    <x v="44"/>
    <x v="1"/>
    <x v="1"/>
  </r>
  <r>
    <x v="19"/>
    <x v="1"/>
    <x v="2"/>
  </r>
  <r>
    <x v="41"/>
    <x v="1"/>
    <x v="3"/>
  </r>
  <r>
    <x v="31"/>
    <x v="0"/>
    <x v="3"/>
  </r>
  <r>
    <x v="28"/>
    <x v="1"/>
    <x v="1"/>
  </r>
  <r>
    <x v="12"/>
    <x v="1"/>
    <x v="3"/>
  </r>
  <r>
    <x v="45"/>
    <x v="0"/>
    <x v="3"/>
  </r>
  <r>
    <x v="3"/>
    <x v="2"/>
    <x v="3"/>
  </r>
  <r>
    <x v="24"/>
    <x v="1"/>
    <x v="0"/>
  </r>
  <r>
    <x v="46"/>
    <x v="2"/>
    <x v="3"/>
  </r>
  <r>
    <x v="6"/>
    <x v="0"/>
    <x v="0"/>
  </r>
  <r>
    <x v="33"/>
    <x v="2"/>
    <x v="1"/>
  </r>
  <r>
    <x v="12"/>
    <x v="2"/>
    <x v="3"/>
  </r>
  <r>
    <x v="47"/>
    <x v="0"/>
    <x v="1"/>
  </r>
  <r>
    <x v="29"/>
    <x v="1"/>
    <x v="3"/>
  </r>
  <r>
    <x v="19"/>
    <x v="2"/>
    <x v="2"/>
  </r>
  <r>
    <x v="18"/>
    <x v="0"/>
    <x v="1"/>
  </r>
  <r>
    <x v="30"/>
    <x v="0"/>
    <x v="1"/>
  </r>
  <r>
    <x v="48"/>
    <x v="1"/>
    <x v="0"/>
  </r>
  <r>
    <x v="3"/>
    <x v="0"/>
    <x v="3"/>
  </r>
  <r>
    <x v="15"/>
    <x v="2"/>
    <x v="3"/>
  </r>
  <r>
    <x v="40"/>
    <x v="2"/>
    <x v="3"/>
  </r>
  <r>
    <x v="4"/>
    <x v="0"/>
    <x v="3"/>
  </r>
  <r>
    <x v="41"/>
    <x v="1"/>
    <x v="3"/>
  </r>
  <r>
    <x v="3"/>
    <x v="0"/>
    <x v="3"/>
  </r>
  <r>
    <x v="23"/>
    <x v="1"/>
    <x v="1"/>
  </r>
  <r>
    <x v="49"/>
    <x v="2"/>
    <x v="0"/>
  </r>
  <r>
    <x v="38"/>
    <x v="0"/>
    <x v="0"/>
  </r>
  <r>
    <x v="15"/>
    <x v="2"/>
    <x v="3"/>
  </r>
  <r>
    <x v="18"/>
    <x v="0"/>
    <x v="1"/>
  </r>
  <r>
    <x v="28"/>
    <x v="1"/>
    <x v="1"/>
  </r>
  <r>
    <x v="49"/>
    <x v="1"/>
    <x v="0"/>
  </r>
  <r>
    <x v="29"/>
    <x v="1"/>
    <x v="3"/>
  </r>
  <r>
    <x v="26"/>
    <x v="1"/>
    <x v="2"/>
  </r>
  <r>
    <x v="23"/>
    <x v="2"/>
    <x v="1"/>
  </r>
  <r>
    <x v="12"/>
    <x v="2"/>
    <x v="3"/>
  </r>
  <r>
    <x v="8"/>
    <x v="1"/>
    <x v="0"/>
  </r>
  <r>
    <x v="5"/>
    <x v="1"/>
    <x v="2"/>
  </r>
  <r>
    <x v="21"/>
    <x v="1"/>
    <x v="2"/>
  </r>
  <r>
    <x v="8"/>
    <x v="1"/>
    <x v="0"/>
  </r>
  <r>
    <x v="50"/>
    <x v="1"/>
    <x v="1"/>
  </r>
  <r>
    <x v="38"/>
    <x v="1"/>
    <x v="0"/>
  </r>
  <r>
    <x v="51"/>
    <x v="1"/>
    <x v="3"/>
  </r>
  <r>
    <x v="21"/>
    <x v="2"/>
    <x v="2"/>
  </r>
  <r>
    <x v="13"/>
    <x v="0"/>
    <x v="0"/>
  </r>
  <r>
    <x v="27"/>
    <x v="2"/>
    <x v="0"/>
  </r>
  <r>
    <x v="30"/>
    <x v="1"/>
    <x v="1"/>
  </r>
  <r>
    <x v="5"/>
    <x v="1"/>
    <x v="2"/>
  </r>
  <r>
    <x v="52"/>
    <x v="1"/>
    <x v="2"/>
  </r>
  <r>
    <x v="28"/>
    <x v="0"/>
    <x v="1"/>
  </r>
  <r>
    <x v="29"/>
    <x v="2"/>
    <x v="3"/>
  </r>
  <r>
    <x v="48"/>
    <x v="1"/>
    <x v="0"/>
  </r>
  <r>
    <x v="53"/>
    <x v="1"/>
    <x v="0"/>
  </r>
  <r>
    <x v="31"/>
    <x v="1"/>
    <x v="3"/>
  </r>
  <r>
    <x v="14"/>
    <x v="1"/>
    <x v="3"/>
  </r>
  <r>
    <x v="37"/>
    <x v="1"/>
    <x v="0"/>
  </r>
  <r>
    <x v="29"/>
    <x v="0"/>
    <x v="3"/>
  </r>
  <r>
    <x v="16"/>
    <x v="1"/>
    <x v="1"/>
  </r>
  <r>
    <x v="22"/>
    <x v="2"/>
    <x v="0"/>
  </r>
  <r>
    <x v="43"/>
    <x v="0"/>
    <x v="2"/>
  </r>
  <r>
    <x v="54"/>
    <x v="1"/>
    <x v="2"/>
  </r>
  <r>
    <x v="33"/>
    <x v="1"/>
    <x v="1"/>
  </r>
  <r>
    <x v="55"/>
    <x v="2"/>
    <x v="0"/>
  </r>
  <r>
    <x v="22"/>
    <x v="1"/>
    <x v="0"/>
  </r>
  <r>
    <x v="54"/>
    <x v="1"/>
    <x v="2"/>
  </r>
  <r>
    <x v="39"/>
    <x v="1"/>
    <x v="2"/>
  </r>
  <r>
    <x v="4"/>
    <x v="1"/>
    <x v="3"/>
  </r>
  <r>
    <x v="12"/>
    <x v="0"/>
    <x v="3"/>
  </r>
  <r>
    <x v="43"/>
    <x v="0"/>
    <x v="2"/>
  </r>
  <r>
    <x v="43"/>
    <x v="1"/>
    <x v="2"/>
  </r>
  <r>
    <x v="5"/>
    <x v="1"/>
    <x v="2"/>
  </r>
  <r>
    <x v="5"/>
    <x v="0"/>
    <x v="2"/>
  </r>
  <r>
    <x v="37"/>
    <x v="0"/>
    <x v="0"/>
  </r>
  <r>
    <x v="16"/>
    <x v="1"/>
    <x v="1"/>
  </r>
  <r>
    <x v="3"/>
    <x v="2"/>
    <x v="3"/>
  </r>
  <r>
    <x v="44"/>
    <x v="0"/>
    <x v="1"/>
  </r>
  <r>
    <x v="30"/>
    <x v="1"/>
    <x v="1"/>
  </r>
  <r>
    <x v="56"/>
    <x v="2"/>
    <x v="2"/>
  </r>
  <r>
    <x v="38"/>
    <x v="2"/>
    <x v="0"/>
  </r>
  <r>
    <x v="25"/>
    <x v="0"/>
    <x v="0"/>
  </r>
  <r>
    <x v="42"/>
    <x v="0"/>
    <x v="0"/>
  </r>
  <r>
    <x v="14"/>
    <x v="1"/>
    <x v="3"/>
  </r>
  <r>
    <x v="24"/>
    <x v="1"/>
    <x v="0"/>
  </r>
  <r>
    <x v="46"/>
    <x v="0"/>
    <x v="3"/>
  </r>
  <r>
    <x v="12"/>
    <x v="1"/>
    <x v="3"/>
  </r>
  <r>
    <x v="40"/>
    <x v="0"/>
    <x v="3"/>
  </r>
  <r>
    <x v="21"/>
    <x v="0"/>
    <x v="2"/>
  </r>
  <r>
    <x v="8"/>
    <x v="1"/>
    <x v="0"/>
  </r>
  <r>
    <x v="45"/>
    <x v="1"/>
    <x v="3"/>
  </r>
  <r>
    <x v="40"/>
    <x v="2"/>
    <x v="3"/>
  </r>
  <r>
    <x v="24"/>
    <x v="0"/>
    <x v="0"/>
  </r>
  <r>
    <x v="4"/>
    <x v="0"/>
    <x v="3"/>
  </r>
  <r>
    <x v="55"/>
    <x v="2"/>
    <x v="0"/>
  </r>
  <r>
    <x v="24"/>
    <x v="1"/>
    <x v="0"/>
  </r>
  <r>
    <x v="8"/>
    <x v="0"/>
    <x v="0"/>
  </r>
  <r>
    <x v="43"/>
    <x v="2"/>
    <x v="2"/>
  </r>
  <r>
    <x v="1"/>
    <x v="0"/>
    <x v="1"/>
  </r>
  <r>
    <x v="23"/>
    <x v="2"/>
    <x v="1"/>
  </r>
  <r>
    <x v="53"/>
    <x v="1"/>
    <x v="0"/>
  </r>
  <r>
    <x v="21"/>
    <x v="1"/>
    <x v="2"/>
  </r>
  <r>
    <x v="56"/>
    <x v="1"/>
    <x v="2"/>
  </r>
  <r>
    <x v="49"/>
    <x v="0"/>
    <x v="0"/>
  </r>
  <r>
    <x v="34"/>
    <x v="2"/>
    <x v="2"/>
  </r>
  <r>
    <x v="27"/>
    <x v="1"/>
    <x v="0"/>
  </r>
  <r>
    <x v="53"/>
    <x v="0"/>
    <x v="0"/>
  </r>
  <r>
    <x v="35"/>
    <x v="0"/>
    <x v="1"/>
  </r>
  <r>
    <x v="12"/>
    <x v="1"/>
    <x v="3"/>
  </r>
  <r>
    <x v="35"/>
    <x v="1"/>
    <x v="1"/>
  </r>
  <r>
    <x v="49"/>
    <x v="1"/>
    <x v="0"/>
  </r>
  <r>
    <x v="3"/>
    <x v="2"/>
    <x v="3"/>
  </r>
  <r>
    <x v="24"/>
    <x v="0"/>
    <x v="0"/>
  </r>
  <r>
    <x v="8"/>
    <x v="1"/>
    <x v="0"/>
  </r>
  <r>
    <x v="46"/>
    <x v="1"/>
    <x v="3"/>
  </r>
  <r>
    <x v="41"/>
    <x v="1"/>
    <x v="3"/>
  </r>
  <r>
    <x v="52"/>
    <x v="0"/>
    <x v="2"/>
  </r>
  <r>
    <x v="29"/>
    <x v="0"/>
    <x v="3"/>
  </r>
  <r>
    <x v="47"/>
    <x v="0"/>
    <x v="1"/>
  </r>
  <r>
    <x v="34"/>
    <x v="2"/>
    <x v="2"/>
  </r>
  <r>
    <x v="26"/>
    <x v="0"/>
    <x v="2"/>
  </r>
  <r>
    <x v="0"/>
    <x v="0"/>
    <x v="0"/>
  </r>
  <r>
    <x v="28"/>
    <x v="0"/>
    <x v="1"/>
  </r>
  <r>
    <x v="9"/>
    <x v="1"/>
    <x v="3"/>
  </r>
  <r>
    <x v="1"/>
    <x v="0"/>
    <x v="1"/>
  </r>
  <r>
    <x v="53"/>
    <x v="1"/>
    <x v="0"/>
  </r>
  <r>
    <x v="12"/>
    <x v="1"/>
    <x v="3"/>
  </r>
  <r>
    <x v="29"/>
    <x v="1"/>
    <x v="3"/>
  </r>
  <r>
    <x v="3"/>
    <x v="1"/>
    <x v="3"/>
  </r>
  <r>
    <x v="15"/>
    <x v="1"/>
    <x v="3"/>
  </r>
  <r>
    <x v="2"/>
    <x v="1"/>
    <x v="2"/>
  </r>
  <r>
    <x v="1"/>
    <x v="1"/>
    <x v="1"/>
  </r>
  <r>
    <x v="18"/>
    <x v="1"/>
    <x v="1"/>
  </r>
  <r>
    <x v="14"/>
    <x v="1"/>
    <x v="3"/>
  </r>
  <r>
    <x v="49"/>
    <x v="1"/>
    <x v="0"/>
  </r>
  <r>
    <x v="26"/>
    <x v="0"/>
    <x v="2"/>
  </r>
  <r>
    <x v="56"/>
    <x v="1"/>
    <x v="2"/>
  </r>
  <r>
    <x v="9"/>
    <x v="1"/>
    <x v="3"/>
  </r>
  <r>
    <x v="12"/>
    <x v="1"/>
    <x v="3"/>
  </r>
  <r>
    <x v="22"/>
    <x v="1"/>
    <x v="0"/>
  </r>
  <r>
    <x v="22"/>
    <x v="2"/>
    <x v="0"/>
  </r>
  <r>
    <x v="50"/>
    <x v="1"/>
    <x v="1"/>
  </r>
  <r>
    <x v="11"/>
    <x v="2"/>
    <x v="3"/>
  </r>
  <r>
    <x v="52"/>
    <x v="1"/>
    <x v="2"/>
  </r>
  <r>
    <x v="28"/>
    <x v="1"/>
    <x v="1"/>
  </r>
  <r>
    <x v="17"/>
    <x v="0"/>
    <x v="0"/>
  </r>
  <r>
    <x v="55"/>
    <x v="0"/>
    <x v="0"/>
  </r>
  <r>
    <x v="17"/>
    <x v="0"/>
    <x v="0"/>
  </r>
  <r>
    <x v="56"/>
    <x v="1"/>
    <x v="2"/>
  </r>
  <r>
    <x v="17"/>
    <x v="1"/>
    <x v="0"/>
  </r>
  <r>
    <x v="22"/>
    <x v="1"/>
    <x v="0"/>
  </r>
  <r>
    <x v="37"/>
    <x v="1"/>
    <x v="0"/>
  </r>
  <r>
    <x v="39"/>
    <x v="0"/>
    <x v="2"/>
  </r>
  <r>
    <x v="33"/>
    <x v="0"/>
    <x v="1"/>
  </r>
  <r>
    <x v="5"/>
    <x v="1"/>
    <x v="2"/>
  </r>
  <r>
    <x v="47"/>
    <x v="1"/>
    <x v="1"/>
  </r>
  <r>
    <x v="0"/>
    <x v="1"/>
    <x v="0"/>
  </r>
  <r>
    <x v="53"/>
    <x v="1"/>
    <x v="0"/>
  </r>
  <r>
    <x v="51"/>
    <x v="0"/>
    <x v="3"/>
  </r>
  <r>
    <x v="48"/>
    <x v="1"/>
    <x v="0"/>
  </r>
  <r>
    <x v="11"/>
    <x v="1"/>
    <x v="3"/>
  </r>
  <r>
    <x v="1"/>
    <x v="2"/>
    <x v="1"/>
  </r>
  <r>
    <x v="35"/>
    <x v="1"/>
    <x v="1"/>
  </r>
  <r>
    <x v="4"/>
    <x v="1"/>
    <x v="3"/>
  </r>
  <r>
    <x v="12"/>
    <x v="1"/>
    <x v="3"/>
  </r>
  <r>
    <x v="31"/>
    <x v="1"/>
    <x v="3"/>
  </r>
  <r>
    <x v="23"/>
    <x v="1"/>
    <x v="1"/>
  </r>
  <r>
    <x v="30"/>
    <x v="1"/>
    <x v="1"/>
  </r>
  <r>
    <x v="1"/>
    <x v="0"/>
    <x v="1"/>
  </r>
  <r>
    <x v="9"/>
    <x v="1"/>
    <x v="3"/>
  </r>
  <r>
    <x v="36"/>
    <x v="1"/>
    <x v="1"/>
  </r>
  <r>
    <x v="21"/>
    <x v="2"/>
    <x v="2"/>
  </r>
  <r>
    <x v="31"/>
    <x v="1"/>
    <x v="3"/>
  </r>
  <r>
    <x v="28"/>
    <x v="2"/>
    <x v="1"/>
  </r>
  <r>
    <x v="51"/>
    <x v="1"/>
    <x v="3"/>
  </r>
  <r>
    <x v="0"/>
    <x v="2"/>
    <x v="0"/>
  </r>
  <r>
    <x v="24"/>
    <x v="1"/>
    <x v="0"/>
  </r>
  <r>
    <x v="30"/>
    <x v="0"/>
    <x v="1"/>
  </r>
  <r>
    <x v="29"/>
    <x v="1"/>
    <x v="3"/>
  </r>
  <r>
    <x v="43"/>
    <x v="2"/>
    <x v="2"/>
  </r>
  <r>
    <x v="16"/>
    <x v="1"/>
    <x v="1"/>
  </r>
  <r>
    <x v="36"/>
    <x v="0"/>
    <x v="1"/>
  </r>
  <r>
    <x v="21"/>
    <x v="0"/>
    <x v="2"/>
  </r>
  <r>
    <x v="55"/>
    <x v="1"/>
    <x v="0"/>
  </r>
  <r>
    <x v="9"/>
    <x v="1"/>
    <x v="3"/>
  </r>
  <r>
    <x v="29"/>
    <x v="1"/>
    <x v="3"/>
  </r>
  <r>
    <x v="49"/>
    <x v="1"/>
    <x v="0"/>
  </r>
  <r>
    <x v="8"/>
    <x v="1"/>
    <x v="0"/>
  </r>
  <r>
    <x v="8"/>
    <x v="1"/>
    <x v="0"/>
  </r>
  <r>
    <x v="18"/>
    <x v="1"/>
    <x v="1"/>
  </r>
  <r>
    <x v="36"/>
    <x v="1"/>
    <x v="1"/>
  </r>
  <r>
    <x v="51"/>
    <x v="0"/>
    <x v="3"/>
  </r>
  <r>
    <x v="26"/>
    <x v="0"/>
    <x v="2"/>
  </r>
  <r>
    <x v="51"/>
    <x v="1"/>
    <x v="3"/>
  </r>
  <r>
    <x v="28"/>
    <x v="1"/>
    <x v="1"/>
  </r>
  <r>
    <x v="33"/>
    <x v="2"/>
    <x v="1"/>
  </r>
  <r>
    <x v="42"/>
    <x v="1"/>
    <x v="0"/>
  </r>
  <r>
    <x v="23"/>
    <x v="2"/>
    <x v="1"/>
  </r>
  <r>
    <x v="22"/>
    <x v="1"/>
    <x v="0"/>
  </r>
  <r>
    <x v="9"/>
    <x v="0"/>
    <x v="3"/>
  </r>
  <r>
    <x v="2"/>
    <x v="0"/>
    <x v="2"/>
  </r>
  <r>
    <x v="22"/>
    <x v="1"/>
    <x v="0"/>
  </r>
  <r>
    <x v="47"/>
    <x v="0"/>
    <x v="1"/>
  </r>
  <r>
    <x v="27"/>
    <x v="2"/>
    <x v="0"/>
  </r>
  <r>
    <x v="41"/>
    <x v="0"/>
    <x v="3"/>
  </r>
  <r>
    <x v="23"/>
    <x v="0"/>
    <x v="1"/>
  </r>
  <r>
    <x v="44"/>
    <x v="1"/>
    <x v="1"/>
  </r>
  <r>
    <x v="39"/>
    <x v="0"/>
    <x v="2"/>
  </r>
  <r>
    <x v="19"/>
    <x v="2"/>
    <x v="2"/>
  </r>
  <r>
    <x v="12"/>
    <x v="0"/>
    <x v="3"/>
  </r>
  <r>
    <x v="41"/>
    <x v="0"/>
    <x v="3"/>
  </r>
  <r>
    <x v="26"/>
    <x v="2"/>
    <x v="2"/>
  </r>
  <r>
    <x v="17"/>
    <x v="1"/>
    <x v="0"/>
  </r>
  <r>
    <x v="28"/>
    <x v="2"/>
    <x v="1"/>
  </r>
  <r>
    <x v="39"/>
    <x v="0"/>
    <x v="2"/>
  </r>
  <r>
    <x v="34"/>
    <x v="1"/>
    <x v="2"/>
  </r>
  <r>
    <x v="42"/>
    <x v="0"/>
    <x v="0"/>
  </r>
  <r>
    <x v="6"/>
    <x v="2"/>
    <x v="0"/>
  </r>
  <r>
    <x v="36"/>
    <x v="0"/>
    <x v="1"/>
  </r>
  <r>
    <x v="0"/>
    <x v="1"/>
    <x v="0"/>
  </r>
  <r>
    <x v="2"/>
    <x v="1"/>
    <x v="2"/>
  </r>
  <r>
    <x v="52"/>
    <x v="0"/>
    <x v="2"/>
  </r>
  <r>
    <x v="33"/>
    <x v="1"/>
    <x v="1"/>
  </r>
  <r>
    <x v="18"/>
    <x v="1"/>
    <x v="1"/>
  </r>
  <r>
    <x v="10"/>
    <x v="2"/>
    <x v="2"/>
  </r>
  <r>
    <x v="51"/>
    <x v="1"/>
    <x v="3"/>
  </r>
  <r>
    <x v="5"/>
    <x v="0"/>
    <x v="2"/>
  </r>
  <r>
    <x v="48"/>
    <x v="0"/>
    <x v="0"/>
  </r>
  <r>
    <x v="38"/>
    <x v="1"/>
    <x v="0"/>
  </r>
  <r>
    <x v="52"/>
    <x v="0"/>
    <x v="2"/>
  </r>
  <r>
    <x v="0"/>
    <x v="1"/>
    <x v="0"/>
  </r>
  <r>
    <x v="52"/>
    <x v="1"/>
    <x v="2"/>
  </r>
  <r>
    <x v="13"/>
    <x v="2"/>
    <x v="0"/>
  </r>
  <r>
    <x v="44"/>
    <x v="1"/>
    <x v="1"/>
  </r>
  <r>
    <x v="32"/>
    <x v="1"/>
    <x v="3"/>
  </r>
  <r>
    <x v="44"/>
    <x v="0"/>
    <x v="1"/>
  </r>
  <r>
    <x v="6"/>
    <x v="0"/>
    <x v="0"/>
  </r>
  <r>
    <x v="46"/>
    <x v="1"/>
    <x v="3"/>
  </r>
  <r>
    <x v="52"/>
    <x v="0"/>
    <x v="2"/>
  </r>
  <r>
    <x v="56"/>
    <x v="2"/>
    <x v="2"/>
  </r>
  <r>
    <x v="52"/>
    <x v="1"/>
    <x v="2"/>
  </r>
  <r>
    <x v="30"/>
    <x v="0"/>
    <x v="1"/>
  </r>
  <r>
    <x v="45"/>
    <x v="1"/>
    <x v="3"/>
  </r>
  <r>
    <x v="11"/>
    <x v="2"/>
    <x v="3"/>
  </r>
  <r>
    <x v="41"/>
    <x v="2"/>
    <x v="3"/>
  </r>
  <r>
    <x v="48"/>
    <x v="1"/>
    <x v="0"/>
  </r>
  <r>
    <x v="23"/>
    <x v="1"/>
    <x v="1"/>
  </r>
  <r>
    <x v="1"/>
    <x v="1"/>
    <x v="1"/>
  </r>
  <r>
    <x v="50"/>
    <x v="1"/>
    <x v="1"/>
  </r>
  <r>
    <x v="35"/>
    <x v="1"/>
    <x v="1"/>
  </r>
  <r>
    <x v="48"/>
    <x v="0"/>
    <x v="0"/>
  </r>
  <r>
    <x v="17"/>
    <x v="1"/>
    <x v="0"/>
  </r>
  <r>
    <x v="47"/>
    <x v="2"/>
    <x v="1"/>
  </r>
  <r>
    <x v="53"/>
    <x v="1"/>
    <x v="0"/>
  </r>
  <r>
    <x v="31"/>
    <x v="1"/>
    <x v="3"/>
  </r>
  <r>
    <x v="42"/>
    <x v="0"/>
    <x v="0"/>
  </r>
  <r>
    <x v="18"/>
    <x v="2"/>
    <x v="1"/>
  </r>
  <r>
    <x v="27"/>
    <x v="1"/>
    <x v="0"/>
  </r>
  <r>
    <x v="10"/>
    <x v="1"/>
    <x v="2"/>
  </r>
  <r>
    <x v="18"/>
    <x v="1"/>
    <x v="1"/>
  </r>
  <r>
    <x v="45"/>
    <x v="1"/>
    <x v="3"/>
  </r>
  <r>
    <x v="54"/>
    <x v="1"/>
    <x v="2"/>
  </r>
  <r>
    <x v="34"/>
    <x v="1"/>
    <x v="2"/>
  </r>
  <r>
    <x v="46"/>
    <x v="0"/>
    <x v="3"/>
  </r>
  <r>
    <x v="48"/>
    <x v="2"/>
    <x v="0"/>
  </r>
  <r>
    <x v="8"/>
    <x v="1"/>
    <x v="0"/>
  </r>
  <r>
    <x v="54"/>
    <x v="2"/>
    <x v="2"/>
  </r>
  <r>
    <x v="18"/>
    <x v="1"/>
    <x v="1"/>
  </r>
  <r>
    <x v="15"/>
    <x v="0"/>
    <x v="3"/>
  </r>
  <r>
    <x v="13"/>
    <x v="1"/>
    <x v="0"/>
  </r>
  <r>
    <x v="10"/>
    <x v="0"/>
    <x v="2"/>
  </r>
  <r>
    <x v="16"/>
    <x v="0"/>
    <x v="1"/>
  </r>
  <r>
    <x v="50"/>
    <x v="0"/>
    <x v="1"/>
  </r>
  <r>
    <x v="40"/>
    <x v="0"/>
    <x v="3"/>
  </r>
  <r>
    <x v="30"/>
    <x v="2"/>
    <x v="1"/>
  </r>
  <r>
    <x v="11"/>
    <x v="2"/>
    <x v="3"/>
  </r>
  <r>
    <x v="26"/>
    <x v="1"/>
    <x v="2"/>
  </r>
  <r>
    <x v="52"/>
    <x v="0"/>
    <x v="2"/>
  </r>
  <r>
    <x v="14"/>
    <x v="2"/>
    <x v="3"/>
  </r>
  <r>
    <x v="50"/>
    <x v="0"/>
    <x v="1"/>
  </r>
  <r>
    <x v="40"/>
    <x v="0"/>
    <x v="3"/>
  </r>
  <r>
    <x v="34"/>
    <x v="1"/>
    <x v="2"/>
  </r>
  <r>
    <x v="17"/>
    <x v="1"/>
    <x v="0"/>
  </r>
  <r>
    <x v="41"/>
    <x v="0"/>
    <x v="3"/>
  </r>
  <r>
    <x v="4"/>
    <x v="0"/>
    <x v="3"/>
  </r>
  <r>
    <x v="37"/>
    <x v="1"/>
    <x v="0"/>
  </r>
  <r>
    <x v="21"/>
    <x v="2"/>
    <x v="2"/>
  </r>
  <r>
    <x v="49"/>
    <x v="0"/>
    <x v="0"/>
  </r>
  <r>
    <x v="3"/>
    <x v="0"/>
    <x v="3"/>
  </r>
  <r>
    <x v="0"/>
    <x v="0"/>
    <x v="0"/>
  </r>
  <r>
    <x v="52"/>
    <x v="0"/>
    <x v="2"/>
  </r>
  <r>
    <x v="10"/>
    <x v="0"/>
    <x v="2"/>
  </r>
  <r>
    <x v="54"/>
    <x v="1"/>
    <x v="2"/>
  </r>
  <r>
    <x v="36"/>
    <x v="1"/>
    <x v="1"/>
  </r>
  <r>
    <x v="15"/>
    <x v="0"/>
    <x v="3"/>
  </r>
  <r>
    <x v="46"/>
    <x v="1"/>
    <x v="3"/>
  </r>
  <r>
    <x v="36"/>
    <x v="0"/>
    <x v="1"/>
  </r>
  <r>
    <x v="45"/>
    <x v="1"/>
    <x v="3"/>
  </r>
  <r>
    <x v="9"/>
    <x v="0"/>
    <x v="3"/>
  </r>
  <r>
    <x v="35"/>
    <x v="0"/>
    <x v="1"/>
  </r>
  <r>
    <x v="11"/>
    <x v="1"/>
    <x v="3"/>
  </r>
  <r>
    <x v="12"/>
    <x v="0"/>
    <x v="3"/>
  </r>
  <r>
    <x v="48"/>
    <x v="1"/>
    <x v="0"/>
  </r>
  <r>
    <x v="21"/>
    <x v="0"/>
    <x v="2"/>
  </r>
  <r>
    <x v="0"/>
    <x v="1"/>
    <x v="0"/>
  </r>
  <r>
    <x v="50"/>
    <x v="0"/>
    <x v="1"/>
  </r>
  <r>
    <x v="10"/>
    <x v="0"/>
    <x v="2"/>
  </r>
  <r>
    <x v="12"/>
    <x v="0"/>
    <x v="3"/>
  </r>
  <r>
    <x v="51"/>
    <x v="1"/>
    <x v="3"/>
  </r>
  <r>
    <x v="54"/>
    <x v="1"/>
    <x v="2"/>
  </r>
  <r>
    <x v="6"/>
    <x v="0"/>
    <x v="0"/>
  </r>
  <r>
    <x v="9"/>
    <x v="0"/>
    <x v="3"/>
  </r>
  <r>
    <x v="24"/>
    <x v="1"/>
    <x v="0"/>
  </r>
  <r>
    <x v="31"/>
    <x v="1"/>
    <x v="3"/>
  </r>
  <r>
    <x v="53"/>
    <x v="1"/>
    <x v="0"/>
  </r>
  <r>
    <x v="4"/>
    <x v="1"/>
    <x v="3"/>
  </r>
  <r>
    <x v="22"/>
    <x v="0"/>
    <x v="0"/>
  </r>
  <r>
    <x v="3"/>
    <x v="1"/>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r>
  <r>
    <x v="1"/>
  </r>
  <r>
    <x v="1"/>
  </r>
  <r>
    <x v="1"/>
  </r>
  <r>
    <x v="1"/>
  </r>
  <r>
    <x v="1"/>
  </r>
  <r>
    <x v="1"/>
  </r>
  <r>
    <x v="1"/>
  </r>
  <r>
    <x v="1"/>
  </r>
  <r>
    <x v="1"/>
  </r>
  <r>
    <x v="1"/>
  </r>
  <r>
    <x v="0"/>
  </r>
  <r>
    <x v="1"/>
  </r>
  <r>
    <x v="2"/>
  </r>
  <r>
    <x v="2"/>
  </r>
  <r>
    <x v="1"/>
  </r>
  <r>
    <x v="2"/>
  </r>
  <r>
    <x v="0"/>
  </r>
  <r>
    <x v="1"/>
  </r>
  <r>
    <x v="1"/>
  </r>
  <r>
    <x v="0"/>
  </r>
  <r>
    <x v="0"/>
  </r>
  <r>
    <x v="1"/>
  </r>
  <r>
    <x v="0"/>
  </r>
  <r>
    <x v="0"/>
  </r>
  <r>
    <x v="1"/>
  </r>
  <r>
    <x v="1"/>
  </r>
  <r>
    <x v="2"/>
  </r>
  <r>
    <x v="2"/>
  </r>
  <r>
    <x v="2"/>
  </r>
  <r>
    <x v="0"/>
  </r>
  <r>
    <x v="1"/>
  </r>
  <r>
    <x v="1"/>
  </r>
  <r>
    <x v="2"/>
  </r>
  <r>
    <x v="1"/>
  </r>
  <r>
    <x v="2"/>
  </r>
  <r>
    <x v="1"/>
  </r>
  <r>
    <x v="2"/>
  </r>
  <r>
    <x v="1"/>
  </r>
  <r>
    <x v="0"/>
  </r>
  <r>
    <x v="0"/>
  </r>
  <r>
    <x v="0"/>
  </r>
  <r>
    <x v="2"/>
  </r>
  <r>
    <x v="0"/>
  </r>
  <r>
    <x v="1"/>
  </r>
  <r>
    <x v="1"/>
  </r>
  <r>
    <x v="2"/>
  </r>
  <r>
    <x v="1"/>
  </r>
  <r>
    <x v="1"/>
  </r>
  <r>
    <x v="1"/>
  </r>
  <r>
    <x v="0"/>
  </r>
  <r>
    <x v="0"/>
  </r>
  <r>
    <x v="0"/>
  </r>
  <r>
    <x v="2"/>
  </r>
  <r>
    <x v="1"/>
  </r>
  <r>
    <x v="1"/>
  </r>
  <r>
    <x v="0"/>
  </r>
  <r>
    <x v="1"/>
  </r>
  <r>
    <x v="0"/>
  </r>
  <r>
    <x v="1"/>
  </r>
  <r>
    <x v="2"/>
  </r>
  <r>
    <x v="0"/>
  </r>
  <r>
    <x v="1"/>
  </r>
  <r>
    <x v="1"/>
  </r>
  <r>
    <x v="1"/>
  </r>
  <r>
    <x v="0"/>
  </r>
  <r>
    <x v="0"/>
  </r>
  <r>
    <x v="0"/>
  </r>
  <r>
    <x v="2"/>
  </r>
  <r>
    <x v="1"/>
  </r>
  <r>
    <x v="0"/>
  </r>
  <r>
    <x v="0"/>
  </r>
  <r>
    <x v="2"/>
  </r>
  <r>
    <x v="1"/>
  </r>
  <r>
    <x v="0"/>
  </r>
  <r>
    <x v="1"/>
  </r>
  <r>
    <x v="0"/>
  </r>
  <r>
    <x v="0"/>
  </r>
  <r>
    <x v="2"/>
  </r>
  <r>
    <x v="1"/>
  </r>
  <r>
    <x v="1"/>
  </r>
  <r>
    <x v="0"/>
  </r>
  <r>
    <x v="1"/>
  </r>
  <r>
    <x v="1"/>
  </r>
  <r>
    <x v="1"/>
  </r>
  <r>
    <x v="1"/>
  </r>
  <r>
    <x v="1"/>
  </r>
  <r>
    <x v="0"/>
  </r>
  <r>
    <x v="1"/>
  </r>
  <r>
    <x v="1"/>
  </r>
  <r>
    <x v="0"/>
  </r>
  <r>
    <x v="2"/>
  </r>
  <r>
    <x v="1"/>
  </r>
  <r>
    <x v="2"/>
  </r>
  <r>
    <x v="0"/>
  </r>
  <r>
    <x v="2"/>
  </r>
  <r>
    <x v="2"/>
  </r>
  <r>
    <x v="0"/>
  </r>
  <r>
    <x v="1"/>
  </r>
  <r>
    <x v="2"/>
  </r>
  <r>
    <x v="0"/>
  </r>
  <r>
    <x v="0"/>
  </r>
  <r>
    <x v="1"/>
  </r>
  <r>
    <x v="0"/>
  </r>
  <r>
    <x v="2"/>
  </r>
  <r>
    <x v="2"/>
  </r>
  <r>
    <x v="0"/>
  </r>
  <r>
    <x v="1"/>
  </r>
  <r>
    <x v="0"/>
  </r>
  <r>
    <x v="1"/>
  </r>
  <r>
    <x v="2"/>
  </r>
  <r>
    <x v="0"/>
  </r>
  <r>
    <x v="2"/>
  </r>
  <r>
    <x v="0"/>
  </r>
  <r>
    <x v="1"/>
  </r>
  <r>
    <x v="1"/>
  </r>
  <r>
    <x v="1"/>
  </r>
  <r>
    <x v="1"/>
  </r>
  <r>
    <x v="2"/>
  </r>
  <r>
    <x v="2"/>
  </r>
  <r>
    <x v="1"/>
  </r>
  <r>
    <x v="1"/>
  </r>
  <r>
    <x v="1"/>
  </r>
  <r>
    <x v="1"/>
  </r>
  <r>
    <x v="1"/>
  </r>
  <r>
    <x v="1"/>
  </r>
  <r>
    <x v="1"/>
  </r>
  <r>
    <x v="2"/>
  </r>
  <r>
    <x v="0"/>
  </r>
  <r>
    <x v="2"/>
  </r>
  <r>
    <x v="1"/>
  </r>
  <r>
    <x v="1"/>
  </r>
  <r>
    <x v="1"/>
  </r>
  <r>
    <x v="0"/>
  </r>
  <r>
    <x v="2"/>
  </r>
  <r>
    <x v="1"/>
  </r>
  <r>
    <x v="1"/>
  </r>
  <r>
    <x v="1"/>
  </r>
  <r>
    <x v="1"/>
  </r>
  <r>
    <x v="1"/>
  </r>
  <r>
    <x v="0"/>
  </r>
  <r>
    <x v="1"/>
  </r>
  <r>
    <x v="2"/>
  </r>
  <r>
    <x v="0"/>
  </r>
  <r>
    <x v="1"/>
  </r>
  <r>
    <x v="1"/>
  </r>
  <r>
    <x v="2"/>
  </r>
  <r>
    <x v="1"/>
  </r>
  <r>
    <x v="1"/>
  </r>
  <r>
    <x v="1"/>
  </r>
  <r>
    <x v="1"/>
  </r>
  <r>
    <x v="0"/>
  </r>
  <r>
    <x v="0"/>
  </r>
  <r>
    <x v="1"/>
  </r>
  <r>
    <x v="1"/>
  </r>
  <r>
    <x v="0"/>
  </r>
  <r>
    <x v="0"/>
  </r>
  <r>
    <x v="1"/>
  </r>
  <r>
    <x v="2"/>
  </r>
  <r>
    <x v="0"/>
  </r>
  <r>
    <x v="1"/>
  </r>
  <r>
    <x v="2"/>
  </r>
  <r>
    <x v="2"/>
  </r>
  <r>
    <x v="0"/>
  </r>
  <r>
    <x v="0"/>
  </r>
  <r>
    <x v="1"/>
  </r>
  <r>
    <x v="1"/>
  </r>
  <r>
    <x v="0"/>
  </r>
  <r>
    <x v="1"/>
  </r>
  <r>
    <x v="0"/>
  </r>
  <r>
    <x v="0"/>
  </r>
  <r>
    <x v="1"/>
  </r>
  <r>
    <x v="1"/>
  </r>
  <r>
    <x v="2"/>
  </r>
  <r>
    <x v="0"/>
  </r>
  <r>
    <x v="0"/>
  </r>
  <r>
    <x v="2"/>
  </r>
  <r>
    <x v="1"/>
  </r>
  <r>
    <x v="0"/>
  </r>
  <r>
    <x v="2"/>
  </r>
  <r>
    <x v="0"/>
  </r>
  <r>
    <x v="2"/>
  </r>
  <r>
    <x v="1"/>
  </r>
  <r>
    <x v="1"/>
  </r>
  <r>
    <x v="1"/>
  </r>
  <r>
    <x v="0"/>
  </r>
  <r>
    <x v="2"/>
  </r>
  <r>
    <x v="1"/>
  </r>
  <r>
    <x v="0"/>
  </r>
  <r>
    <x v="0"/>
  </r>
  <r>
    <x v="1"/>
  </r>
  <r>
    <x v="1"/>
  </r>
  <r>
    <x v="1"/>
  </r>
  <r>
    <x v="2"/>
  </r>
  <r>
    <x v="0"/>
  </r>
  <r>
    <x v="1"/>
  </r>
  <r>
    <x v="1"/>
  </r>
  <r>
    <x v="1"/>
  </r>
  <r>
    <x v="0"/>
  </r>
  <r>
    <x v="0"/>
  </r>
  <r>
    <x v="0"/>
  </r>
  <r>
    <x v="2"/>
  </r>
  <r>
    <x v="0"/>
  </r>
  <r>
    <x v="0"/>
  </r>
  <r>
    <x v="0"/>
  </r>
  <r>
    <x v="1"/>
  </r>
  <r>
    <x v="0"/>
  </r>
  <r>
    <x v="1"/>
  </r>
  <r>
    <x v="1"/>
  </r>
  <r>
    <x v="1"/>
  </r>
  <r>
    <x v="1"/>
  </r>
  <r>
    <x v="1"/>
  </r>
  <r>
    <x v="1"/>
  </r>
  <r>
    <x v="1"/>
  </r>
  <r>
    <x v="1"/>
  </r>
  <r>
    <x v="1"/>
  </r>
  <r>
    <x v="1"/>
  </r>
  <r>
    <x v="0"/>
  </r>
  <r>
    <x v="1"/>
  </r>
  <r>
    <x v="1"/>
  </r>
  <r>
    <x v="1"/>
  </r>
  <r>
    <x v="1"/>
  </r>
  <r>
    <x v="2"/>
  </r>
  <r>
    <x v="1"/>
  </r>
  <r>
    <x v="2"/>
  </r>
  <r>
    <x v="1"/>
  </r>
  <r>
    <x v="1"/>
  </r>
  <r>
    <x v="0"/>
  </r>
  <r>
    <x v="0"/>
  </r>
  <r>
    <x v="0"/>
  </r>
  <r>
    <x v="1"/>
  </r>
  <r>
    <x v="1"/>
  </r>
  <r>
    <x v="1"/>
  </r>
  <r>
    <x v="1"/>
  </r>
  <r>
    <x v="0"/>
  </r>
  <r>
    <x v="0"/>
  </r>
  <r>
    <x v="1"/>
  </r>
  <r>
    <x v="1"/>
  </r>
  <r>
    <x v="1"/>
  </r>
  <r>
    <x v="1"/>
  </r>
  <r>
    <x v="0"/>
  </r>
  <r>
    <x v="1"/>
  </r>
  <r>
    <x v="1"/>
  </r>
  <r>
    <x v="2"/>
  </r>
  <r>
    <x v="1"/>
  </r>
  <r>
    <x v="1"/>
  </r>
  <r>
    <x v="1"/>
  </r>
  <r>
    <x v="1"/>
  </r>
  <r>
    <x v="1"/>
  </r>
  <r>
    <x v="1"/>
  </r>
  <r>
    <x v="0"/>
  </r>
  <r>
    <x v="1"/>
  </r>
  <r>
    <x v="1"/>
  </r>
  <r>
    <x v="2"/>
  </r>
  <r>
    <x v="1"/>
  </r>
  <r>
    <x v="2"/>
  </r>
  <r>
    <x v="1"/>
  </r>
  <r>
    <x v="2"/>
  </r>
  <r>
    <x v="1"/>
  </r>
  <r>
    <x v="0"/>
  </r>
  <r>
    <x v="1"/>
  </r>
  <r>
    <x v="2"/>
  </r>
  <r>
    <x v="1"/>
  </r>
  <r>
    <x v="0"/>
  </r>
  <r>
    <x v="0"/>
  </r>
  <r>
    <x v="1"/>
  </r>
  <r>
    <x v="1"/>
  </r>
  <r>
    <x v="1"/>
  </r>
  <r>
    <x v="1"/>
  </r>
  <r>
    <x v="1"/>
  </r>
  <r>
    <x v="1"/>
  </r>
  <r>
    <x v="1"/>
  </r>
  <r>
    <x v="1"/>
  </r>
  <r>
    <x v="0"/>
  </r>
  <r>
    <x v="0"/>
  </r>
  <r>
    <x v="1"/>
  </r>
  <r>
    <x v="1"/>
  </r>
  <r>
    <x v="2"/>
  </r>
  <r>
    <x v="1"/>
  </r>
  <r>
    <x v="2"/>
  </r>
  <r>
    <x v="1"/>
  </r>
  <r>
    <x v="0"/>
  </r>
  <r>
    <x v="0"/>
  </r>
  <r>
    <x v="1"/>
  </r>
  <r>
    <x v="0"/>
  </r>
  <r>
    <x v="2"/>
  </r>
  <r>
    <x v="0"/>
  </r>
  <r>
    <x v="0"/>
  </r>
  <r>
    <x v="1"/>
  </r>
  <r>
    <x v="0"/>
  </r>
  <r>
    <x v="2"/>
  </r>
  <r>
    <x v="0"/>
  </r>
  <r>
    <x v="0"/>
  </r>
  <r>
    <x v="2"/>
  </r>
  <r>
    <x v="1"/>
  </r>
  <r>
    <x v="2"/>
  </r>
  <r>
    <x v="0"/>
  </r>
  <r>
    <x v="1"/>
  </r>
  <r>
    <x v="0"/>
  </r>
  <r>
    <x v="2"/>
  </r>
  <r>
    <x v="0"/>
  </r>
  <r>
    <x v="1"/>
  </r>
  <r>
    <x v="1"/>
  </r>
  <r>
    <x v="0"/>
  </r>
  <r>
    <x v="1"/>
  </r>
  <r>
    <x v="1"/>
  </r>
  <r>
    <x v="2"/>
  </r>
  <r>
    <x v="1"/>
  </r>
  <r>
    <x v="0"/>
  </r>
  <r>
    <x v="0"/>
  </r>
  <r>
    <x v="1"/>
  </r>
  <r>
    <x v="0"/>
  </r>
  <r>
    <x v="1"/>
  </r>
  <r>
    <x v="1"/>
  </r>
  <r>
    <x v="2"/>
  </r>
  <r>
    <x v="1"/>
  </r>
  <r>
    <x v="1"/>
  </r>
  <r>
    <x v="0"/>
  </r>
  <r>
    <x v="0"/>
  </r>
  <r>
    <x v="1"/>
  </r>
  <r>
    <x v="0"/>
  </r>
  <r>
    <x v="2"/>
  </r>
  <r>
    <x v="1"/>
  </r>
  <r>
    <x v="0"/>
  </r>
  <r>
    <x v="1"/>
  </r>
  <r>
    <x v="2"/>
  </r>
  <r>
    <x v="2"/>
  </r>
  <r>
    <x v="1"/>
  </r>
  <r>
    <x v="1"/>
  </r>
  <r>
    <x v="1"/>
  </r>
  <r>
    <x v="1"/>
  </r>
  <r>
    <x v="1"/>
  </r>
  <r>
    <x v="0"/>
  </r>
  <r>
    <x v="1"/>
  </r>
  <r>
    <x v="2"/>
  </r>
  <r>
    <x v="1"/>
  </r>
  <r>
    <x v="1"/>
  </r>
  <r>
    <x v="0"/>
  </r>
  <r>
    <x v="2"/>
  </r>
  <r>
    <x v="1"/>
  </r>
  <r>
    <x v="1"/>
  </r>
  <r>
    <x v="1"/>
  </r>
  <r>
    <x v="1"/>
  </r>
  <r>
    <x v="1"/>
  </r>
  <r>
    <x v="1"/>
  </r>
  <r>
    <x v="0"/>
  </r>
  <r>
    <x v="2"/>
  </r>
  <r>
    <x v="1"/>
  </r>
  <r>
    <x v="2"/>
  </r>
  <r>
    <x v="1"/>
  </r>
  <r>
    <x v="0"/>
  </r>
  <r>
    <x v="1"/>
  </r>
  <r>
    <x v="0"/>
  </r>
  <r>
    <x v="0"/>
  </r>
  <r>
    <x v="0"/>
  </r>
  <r>
    <x v="0"/>
  </r>
  <r>
    <x v="2"/>
  </r>
  <r>
    <x v="2"/>
  </r>
  <r>
    <x v="1"/>
  </r>
  <r>
    <x v="0"/>
  </r>
  <r>
    <x v="2"/>
  </r>
  <r>
    <x v="0"/>
  </r>
  <r>
    <x v="0"/>
  </r>
  <r>
    <x v="1"/>
  </r>
  <r>
    <x v="1"/>
  </r>
  <r>
    <x v="0"/>
  </r>
  <r>
    <x v="0"/>
  </r>
  <r>
    <x v="1"/>
  </r>
  <r>
    <x v="2"/>
  </r>
  <r>
    <x v="0"/>
  </r>
  <r>
    <x v="0"/>
  </r>
  <r>
    <x v="0"/>
  </r>
  <r>
    <x v="0"/>
  </r>
  <r>
    <x v="0"/>
  </r>
  <r>
    <x v="1"/>
  </r>
  <r>
    <x v="1"/>
  </r>
  <r>
    <x v="0"/>
  </r>
  <r>
    <x v="1"/>
  </r>
  <r>
    <x v="0"/>
  </r>
  <r>
    <x v="1"/>
  </r>
  <r>
    <x v="0"/>
  </r>
  <r>
    <x v="0"/>
  </r>
  <r>
    <x v="1"/>
  </r>
  <r>
    <x v="0"/>
  </r>
  <r>
    <x v="1"/>
  </r>
  <r>
    <x v="0"/>
  </r>
  <r>
    <x v="1"/>
  </r>
  <r>
    <x v="0"/>
  </r>
  <r>
    <x v="0"/>
  </r>
  <r>
    <x v="0"/>
  </r>
  <r>
    <x v="1"/>
  </r>
  <r>
    <x v="1"/>
  </r>
  <r>
    <x v="0"/>
  </r>
  <r>
    <x v="0"/>
  </r>
  <r>
    <x v="1"/>
  </r>
  <r>
    <x v="1"/>
  </r>
  <r>
    <x v="1"/>
  </r>
  <r>
    <x v="1"/>
  </r>
  <r>
    <x v="0"/>
  </r>
  <r>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n v="17.388000000000002"/>
    <n v="19"/>
    <x v="0"/>
  </r>
  <r>
    <n v="46.656999999999996"/>
    <n v="11"/>
    <x v="1"/>
  </r>
  <r>
    <n v="68.616"/>
    <n v="74"/>
    <x v="2"/>
  </r>
  <r>
    <n v="28.391999999999999"/>
    <n v="97"/>
    <x v="3"/>
  </r>
  <r>
    <n v="43.87"/>
    <n v="10"/>
    <x v="3"/>
  </r>
  <r>
    <n v="65.685000000000002"/>
    <n v="104"/>
    <x v="1"/>
  </r>
  <r>
    <n v="25.864999999999998"/>
    <n v="97"/>
    <x v="3"/>
  </r>
  <r>
    <n v="40.753999999999998"/>
    <n v="38"/>
    <x v="3"/>
  </r>
  <r>
    <n v="16.122"/>
    <n v="58"/>
    <x v="0"/>
  </r>
  <r>
    <n v="43.776000000000003"/>
    <n v="88"/>
    <x v="3"/>
  </r>
  <r>
    <n v="63.607999999999997"/>
    <n v="36"/>
    <x v="1"/>
  </r>
  <r>
    <n v="35.884"/>
    <n v="45"/>
    <x v="3"/>
  </r>
  <r>
    <n v="59.942999999999998"/>
    <n v="51"/>
    <x v="1"/>
  </r>
  <r>
    <n v="55.834000000000003"/>
    <n v="48"/>
    <x v="1"/>
  </r>
  <r>
    <n v="15.707000000000001"/>
    <n v="41"/>
    <x v="0"/>
  </r>
  <r>
    <n v="67.504000000000005"/>
    <n v="71"/>
    <x v="2"/>
  </r>
  <r>
    <n v="42.305"/>
    <n v="48"/>
    <x v="3"/>
  </r>
  <r>
    <n v="45.494"/>
    <n v="18"/>
    <x v="1"/>
  </r>
  <r>
    <n v="25.003"/>
    <n v="31"/>
    <x v="3"/>
  </r>
  <r>
    <n v="46.646000000000001"/>
    <n v="43"/>
    <x v="1"/>
  </r>
  <r>
    <n v="32.247999999999998"/>
    <n v="50"/>
    <x v="3"/>
  </r>
  <r>
    <n v="71.543000000000006"/>
    <n v="75"/>
    <x v="2"/>
  </r>
  <r>
    <n v="37.268999999999998"/>
    <n v="31"/>
    <x v="3"/>
  </r>
  <r>
    <n v="34.418999999999997"/>
    <n v="64"/>
    <x v="3"/>
  </r>
  <r>
    <n v="62.975000000000001"/>
    <n v="40"/>
    <x v="1"/>
  </r>
  <r>
    <n v="51.877000000000002"/>
    <n v="62"/>
    <x v="1"/>
  </r>
  <r>
    <n v="38.255000000000003"/>
    <n v="13"/>
    <x v="3"/>
  </r>
  <r>
    <n v="20.73"/>
    <n v="68"/>
    <x v="0"/>
  </r>
  <r>
    <n v="42.258000000000003"/>
    <n v="68"/>
    <x v="3"/>
  </r>
  <r>
    <n v="66.81"/>
    <n v="32"/>
    <x v="2"/>
  </r>
  <r>
    <n v="8.32"/>
    <n v="51"/>
    <x v="0"/>
  </r>
  <r>
    <n v="76.06"/>
    <n v="39"/>
    <x v="2"/>
  </r>
  <r>
    <n v="69.683000000000007"/>
    <n v="48"/>
    <x v="2"/>
  </r>
  <r>
    <n v="12.763"/>
    <n v="12"/>
    <x v="0"/>
  </r>
  <r>
    <n v="71.554000000000002"/>
    <n v="101"/>
    <x v="2"/>
  </r>
  <r>
    <n v="25.687000000000001"/>
    <n v="18"/>
    <x v="3"/>
  </r>
  <r>
    <n v="79.507999999999996"/>
    <n v="12"/>
    <x v="2"/>
  </r>
  <r>
    <n v="55.863999999999997"/>
    <n v="36"/>
    <x v="1"/>
  </r>
  <r>
    <n v="21.869"/>
    <n v="51"/>
    <x v="0"/>
  </r>
  <r>
    <n v="48.048999999999999"/>
    <n v="43"/>
    <x v="1"/>
  </r>
  <r>
    <n v="56.99"/>
    <n v="14"/>
    <x v="1"/>
  </r>
  <r>
    <n v="56.372999999999998"/>
    <n v="26"/>
    <x v="1"/>
  </r>
  <r>
    <n v="44.795000000000002"/>
    <n v="32"/>
    <x v="1"/>
  </r>
  <r>
    <n v="22.158000000000001"/>
    <n v="22"/>
    <x v="3"/>
  </r>
  <r>
    <n v="59.811999999999998"/>
    <n v="80"/>
    <x v="1"/>
  </r>
  <r>
    <n v="28.178000000000001"/>
    <n v="58"/>
    <x v="3"/>
  </r>
  <r>
    <n v="30.478000000000002"/>
    <n v="88"/>
    <x v="3"/>
  </r>
  <r>
    <n v="33.076000000000001"/>
    <n v="98"/>
    <x v="3"/>
  </r>
  <r>
    <n v="38.529000000000003"/>
    <n v="27"/>
    <x v="3"/>
  </r>
  <r>
    <n v="25.236000000000001"/>
    <n v="43"/>
    <x v="3"/>
  </r>
  <r>
    <n v="43.134"/>
    <n v="90"/>
    <x v="3"/>
  </r>
  <r>
    <n v="40.027999999999999"/>
    <n v="89"/>
    <x v="3"/>
  </r>
  <r>
    <n v="18.603000000000002"/>
    <n v="14"/>
    <x v="0"/>
  </r>
  <r>
    <n v="29.172999999999998"/>
    <n v="75"/>
    <x v="3"/>
  </r>
  <r>
    <n v="36.603000000000002"/>
    <n v="14"/>
    <x v="3"/>
  </r>
  <r>
    <n v="73.004000000000005"/>
    <n v="25"/>
    <x v="2"/>
  </r>
  <r>
    <n v="56.515000000000001"/>
    <n v="18"/>
    <x v="1"/>
  </r>
  <r>
    <n v="61.512"/>
    <n v="68"/>
    <x v="1"/>
  </r>
  <r>
    <n v="80.498000000000005"/>
    <n v="100"/>
    <x v="2"/>
  </r>
  <r>
    <n v="27.545999999999999"/>
    <n v="42"/>
    <x v="3"/>
  </r>
  <r>
    <n v="69.968000000000004"/>
    <n v="50"/>
    <x v="2"/>
  </r>
  <r>
    <n v="79.772000000000006"/>
    <n v="31"/>
    <x v="2"/>
  </r>
  <r>
    <n v="25.855"/>
    <n v="40"/>
    <x v="3"/>
  </r>
  <r>
    <n v="19.073"/>
    <n v="15"/>
    <x v="0"/>
  </r>
  <r>
    <n v="26.183"/>
    <n v="84"/>
    <x v="3"/>
  </r>
  <r>
    <n v="13.362"/>
    <n v="71"/>
    <x v="0"/>
  </r>
  <r>
    <n v="68.884"/>
    <n v="57"/>
    <x v="2"/>
  </r>
  <r>
    <n v="9.5280000000000005"/>
    <n v="8"/>
    <x v="0"/>
  </r>
  <r>
    <n v="88.766999999999996"/>
    <n v="96"/>
    <x v="4"/>
  </r>
  <r>
    <n v="68.938000000000002"/>
    <n v="57"/>
    <x v="2"/>
  </r>
  <r>
    <n v="35.783000000000001"/>
    <n v="19"/>
    <x v="3"/>
  </r>
  <r>
    <n v="68.212000000000003"/>
    <n v="48"/>
    <x v="2"/>
  </r>
  <r>
    <n v="55.284999999999997"/>
    <n v="53"/>
    <x v="1"/>
  </r>
  <r>
    <n v="32.976999999999997"/>
    <n v="44"/>
    <x v="3"/>
  </r>
  <r>
    <n v="44.139000000000003"/>
    <n v="80"/>
    <x v="1"/>
  </r>
  <r>
    <n v="24.19"/>
    <n v="20"/>
    <x v="3"/>
  </r>
  <r>
    <n v="11.8"/>
    <n v="38"/>
    <x v="0"/>
  </r>
  <r>
    <n v="41.859000000000002"/>
    <n v="36"/>
    <x v="3"/>
  </r>
  <r>
    <n v="35.222999999999999"/>
    <n v="41"/>
    <x v="3"/>
  </r>
  <r>
    <n v="58.381"/>
    <n v="83"/>
    <x v="1"/>
  </r>
  <r>
    <n v="33.25"/>
    <n v="74"/>
    <x v="3"/>
  </r>
  <r>
    <n v="70.576999999999998"/>
    <n v="99"/>
    <x v="2"/>
  </r>
  <r>
    <n v="37.936999999999998"/>
    <n v="44"/>
    <x v="3"/>
  </r>
  <r>
    <n v="83.709000000000003"/>
    <n v="45"/>
    <x v="2"/>
  </r>
  <r>
    <n v="54.889000000000003"/>
    <n v="33"/>
    <x v="1"/>
  </r>
  <r>
    <n v="59.725999999999999"/>
    <n v="67"/>
    <x v="1"/>
  </r>
  <r>
    <n v="32.404000000000003"/>
    <n v="18"/>
    <x v="3"/>
  </r>
  <r>
    <n v="67.697000000000003"/>
    <n v="38"/>
    <x v="2"/>
  </r>
  <r>
    <n v="73.944999999999993"/>
    <n v="90"/>
    <x v="2"/>
  </r>
  <r>
    <n v="43.927999999999997"/>
    <n v="49"/>
    <x v="3"/>
  </r>
  <r>
    <n v="61.006"/>
    <n v="63"/>
    <x v="1"/>
  </r>
  <r>
    <n v="35.479999999999997"/>
    <n v="8"/>
    <x v="3"/>
  </r>
  <r>
    <n v="68.980999999999995"/>
    <n v="49"/>
    <x v="2"/>
  </r>
  <r>
    <n v="43.146000000000001"/>
    <n v="20"/>
    <x v="3"/>
  </r>
  <r>
    <n v="78.716999999999999"/>
    <n v="89"/>
    <x v="2"/>
  </r>
  <r>
    <n v="25.960999999999999"/>
    <n v="83"/>
    <x v="3"/>
  </r>
  <r>
    <n v="84.213999999999999"/>
    <n v="26"/>
    <x v="2"/>
  </r>
  <r>
    <n v="44.106999999999999"/>
    <n v="42"/>
    <x v="1"/>
  </r>
  <r>
    <n v="66.272000000000006"/>
    <n v="43"/>
    <x v="2"/>
  </r>
  <r>
    <n v="61.655999999999999"/>
    <n v="46"/>
    <x v="1"/>
  </r>
  <r>
    <n v="62.750999999999998"/>
    <n v="30"/>
    <x v="1"/>
  </r>
  <r>
    <n v="67.902000000000001"/>
    <n v="32"/>
    <x v="2"/>
  </r>
  <r>
    <n v="26.847999999999999"/>
    <n v="6"/>
    <x v="3"/>
  </r>
  <r>
    <n v="70.77"/>
    <n v="85"/>
    <x v="2"/>
  </r>
  <r>
    <n v="60.732999999999997"/>
    <n v="78"/>
    <x v="1"/>
  </r>
  <r>
    <n v="40.055"/>
    <n v="42"/>
    <x v="3"/>
  </r>
  <r>
    <n v="105.56"/>
    <n v="42"/>
    <x v="4"/>
  </r>
  <r>
    <n v="76.233000000000004"/>
    <n v="5"/>
    <x v="2"/>
  </r>
  <r>
    <n v="66.096999999999994"/>
    <n v="60"/>
    <x v="2"/>
  </r>
  <r>
    <n v="23.646000000000001"/>
    <n v="14"/>
    <x v="3"/>
  </r>
  <r>
    <n v="27.632999999999999"/>
    <n v="17"/>
    <x v="3"/>
  </r>
  <r>
    <n v="83.396000000000001"/>
    <n v="108"/>
    <x v="2"/>
  </r>
  <r>
    <n v="56.95"/>
    <n v="75"/>
    <x v="1"/>
  </r>
  <r>
    <n v="25.79"/>
    <n v="52"/>
    <x v="3"/>
  </r>
  <r>
    <n v="27.190999999999999"/>
    <n v="32"/>
    <x v="3"/>
  </r>
  <r>
    <n v="60.615000000000002"/>
    <n v="65"/>
    <x v="1"/>
  </r>
  <r>
    <n v="16.399999999999999"/>
    <n v="57"/>
    <x v="0"/>
  </r>
  <r>
    <n v="64.406000000000006"/>
    <n v="52"/>
    <x v="1"/>
  </r>
  <r>
    <n v="79.677999999999997"/>
    <n v="49"/>
    <x v="2"/>
  </r>
  <r>
    <n v="74.650999999999996"/>
    <n v="55"/>
    <x v="2"/>
  </r>
  <r>
    <n v="86.753"/>
    <n v="107"/>
    <x v="2"/>
  </r>
  <r>
    <n v="31.524999999999999"/>
    <n v="13"/>
    <x v="3"/>
  </r>
  <r>
    <n v="34.079000000000001"/>
    <n v="29"/>
    <x v="3"/>
  </r>
  <r>
    <n v="9.74"/>
    <n v="10"/>
    <x v="0"/>
  </r>
  <r>
    <n v="55.662999999999997"/>
    <n v="73"/>
    <x v="1"/>
  </r>
  <r>
    <n v="58.087000000000003"/>
    <n v="89"/>
    <x v="1"/>
  </r>
  <r>
    <n v="45.101999999999997"/>
    <n v="11"/>
    <x v="1"/>
  </r>
  <r>
    <n v="54.357999999999997"/>
    <n v="46"/>
    <x v="1"/>
  </r>
  <r>
    <n v="72.251999999999995"/>
    <n v="101"/>
    <x v="2"/>
  </r>
  <r>
    <n v="16.61"/>
    <n v="15"/>
    <x v="0"/>
  </r>
  <r>
    <n v="21.760999999999999"/>
    <n v="85"/>
    <x v="0"/>
  </r>
  <r>
    <n v="79.548000000000002"/>
    <n v="27"/>
    <x v="2"/>
  </r>
  <r>
    <n v="29.475999999999999"/>
    <n v="55"/>
    <x v="3"/>
  </r>
  <r>
    <n v="16.651"/>
    <n v="87"/>
    <x v="0"/>
  </r>
  <r>
    <n v="39.646999999999998"/>
    <n v="46"/>
    <x v="3"/>
  </r>
  <r>
    <n v="69.522999999999996"/>
    <n v="81"/>
    <x v="2"/>
  </r>
  <r>
    <n v="76.668000000000006"/>
    <n v="68"/>
    <x v="2"/>
  </r>
  <r>
    <n v="137.63999999999999"/>
    <n v="87"/>
    <x v="5"/>
  </r>
  <r>
    <n v="63.89"/>
    <n v="73"/>
    <x v="1"/>
  </r>
  <r>
    <n v="72.155000000000001"/>
    <n v="106"/>
    <x v="2"/>
  </r>
  <r>
    <n v="30.177"/>
    <n v="26"/>
    <x v="3"/>
  </r>
  <r>
    <n v="49.253"/>
    <n v="39"/>
    <x v="1"/>
  </r>
  <r>
    <n v="85.275999999999996"/>
    <n v="105"/>
    <x v="2"/>
  </r>
  <r>
    <n v="45.779000000000003"/>
    <n v="51"/>
    <x v="1"/>
  </r>
  <r>
    <n v="56.048000000000002"/>
    <n v="67"/>
    <x v="1"/>
  </r>
  <r>
    <n v="40.249000000000002"/>
    <n v="45"/>
    <x v="3"/>
  </r>
  <r>
    <n v="88.394000000000005"/>
    <n v="24"/>
    <x v="4"/>
  </r>
  <r>
    <n v="49.506"/>
    <n v="37"/>
    <x v="1"/>
  </r>
  <r>
    <n v="62.095999999999997"/>
    <n v="76"/>
    <x v="1"/>
  </r>
  <r>
    <n v="92.180999999999997"/>
    <n v="9"/>
    <x v="4"/>
  </r>
  <r>
    <n v="45.167000000000002"/>
    <n v="31"/>
    <x v="1"/>
  </r>
  <r>
    <n v="86.382999999999996"/>
    <n v="34"/>
    <x v="2"/>
  </r>
  <r>
    <n v="29.419"/>
    <n v="47"/>
    <x v="3"/>
  </r>
  <r>
    <n v="70.506"/>
    <n v="78"/>
    <x v="2"/>
  </r>
  <r>
    <n v="93.763999999999996"/>
    <n v="101"/>
    <x v="4"/>
  </r>
  <r>
    <n v="6.0190000000000001"/>
    <n v="51"/>
    <x v="0"/>
  </r>
  <r>
    <n v="87.414000000000001"/>
    <n v="108"/>
    <x v="2"/>
  </r>
  <r>
    <n v="61.896000000000001"/>
    <n v="50"/>
    <x v="1"/>
  </r>
  <r>
    <n v="80.953999999999994"/>
    <n v="10"/>
    <x v="2"/>
  </r>
  <r>
    <n v="41.207999999999998"/>
    <n v="30"/>
    <x v="3"/>
  </r>
  <r>
    <n v="18.265000000000001"/>
    <n v="64"/>
    <x v="0"/>
  </r>
  <r>
    <n v="55.404000000000003"/>
    <n v="60"/>
    <x v="1"/>
  </r>
  <r>
    <n v="61.651000000000003"/>
    <n v="62"/>
    <x v="1"/>
  </r>
  <r>
    <n v="83.631"/>
    <n v="78"/>
    <x v="2"/>
  </r>
  <r>
    <n v="134.34700000000001"/>
    <n v="62"/>
    <x v="5"/>
  </r>
  <r>
    <n v="26.457999999999998"/>
    <n v="11"/>
    <x v="3"/>
  </r>
  <r>
    <n v="61.62"/>
    <n v="70"/>
    <x v="1"/>
  </r>
  <r>
    <n v="26.295999999999999"/>
    <n v="7"/>
    <x v="3"/>
  </r>
  <r>
    <n v="39.817"/>
    <n v="25"/>
    <x v="3"/>
  </r>
  <r>
    <n v="88.3"/>
    <n v="64"/>
    <x v="4"/>
  </r>
  <r>
    <n v="78.733000000000004"/>
    <n v="90"/>
    <x v="2"/>
  </r>
  <r>
    <n v="28.933"/>
    <n v="37"/>
    <x v="3"/>
  </r>
  <r>
    <n v="73.225999999999999"/>
    <n v="59"/>
    <x v="2"/>
  </r>
  <r>
    <n v="49.207000000000001"/>
    <n v="32"/>
    <x v="1"/>
  </r>
  <r>
    <n v="31.866"/>
    <n v="92"/>
    <x v="3"/>
  </r>
  <r>
    <n v="7.6269999999999998"/>
    <n v="27"/>
    <x v="0"/>
  </r>
  <r>
    <n v="5.6929999999999996"/>
    <n v="81"/>
    <x v="0"/>
  </r>
  <r>
    <n v="45.558999999999997"/>
    <n v="82"/>
    <x v="1"/>
  </r>
  <r>
    <n v="40.588000000000001"/>
    <n v="73"/>
    <x v="3"/>
  </r>
  <r>
    <n v="74.736000000000004"/>
    <n v="51"/>
    <x v="2"/>
  </r>
  <r>
    <n v="42.247999999999998"/>
    <n v="66"/>
    <x v="3"/>
  </r>
  <r>
    <n v="44.661999999999999"/>
    <n v="39"/>
    <x v="1"/>
  </r>
  <r>
    <n v="45.543999999999997"/>
    <n v="30"/>
    <x v="1"/>
  </r>
  <r>
    <n v="16.702999999999999"/>
    <n v="33"/>
    <x v="0"/>
  </r>
  <r>
    <n v="31.026"/>
    <n v="44"/>
    <x v="3"/>
  </r>
  <r>
    <n v="75.802000000000007"/>
    <n v="90"/>
    <x v="2"/>
  </r>
  <r>
    <n v="56.418999999999997"/>
    <n v="63"/>
    <x v="1"/>
  </r>
  <r>
    <n v="85.94"/>
    <n v="55"/>
    <x v="2"/>
  </r>
  <r>
    <n v="11.473000000000001"/>
    <n v="32"/>
    <x v="0"/>
  </r>
  <r>
    <n v="53.555999999999997"/>
    <n v="70"/>
    <x v="1"/>
  </r>
  <r>
    <n v="32.177"/>
    <n v="24"/>
    <x v="3"/>
  </r>
  <r>
    <n v="21.138000000000002"/>
    <n v="18"/>
    <x v="0"/>
  </r>
  <r>
    <n v="15.818"/>
    <n v="63"/>
    <x v="0"/>
  </r>
  <r>
    <n v="22.971"/>
    <n v="106"/>
    <x v="3"/>
  </r>
  <r>
    <n v="84.477999999999994"/>
    <n v="70"/>
    <x v="2"/>
  </r>
  <r>
    <n v="21.079000000000001"/>
    <n v="116"/>
    <x v="0"/>
  </r>
  <r>
    <n v="46.56"/>
    <n v="129"/>
    <x v="1"/>
  </r>
  <r>
    <n v="74.834000000000003"/>
    <n v="102"/>
    <x v="2"/>
  </r>
  <r>
    <n v="70.63"/>
    <n v="57"/>
    <x v="2"/>
  </r>
  <r>
    <n v="7.8840000000000003"/>
    <n v="17"/>
    <x v="0"/>
  </r>
  <r>
    <n v="58.735999999999997"/>
    <n v="38"/>
    <x v="1"/>
  </r>
  <r>
    <n v="44.814999999999998"/>
    <n v="91"/>
    <x v="1"/>
  </r>
  <r>
    <n v="52.963999999999999"/>
    <n v="32"/>
    <x v="1"/>
  </r>
  <r>
    <n v="47.540999999999997"/>
    <n v="71"/>
    <x v="1"/>
  </r>
  <r>
    <n v="75.210999999999999"/>
    <n v="17"/>
    <x v="2"/>
  </r>
  <r>
    <n v="64.042000000000002"/>
    <n v="56"/>
    <x v="1"/>
  </r>
  <r>
    <n v="54.698"/>
    <n v="36"/>
    <x v="1"/>
  </r>
  <r>
    <n v="58.173000000000002"/>
    <n v="138"/>
    <x v="1"/>
  </r>
  <r>
    <n v="75.878"/>
    <n v="43"/>
    <x v="2"/>
  </r>
  <r>
    <n v="34.79"/>
    <n v="31"/>
    <x v="3"/>
  </r>
  <r>
    <n v="50.582999999999998"/>
    <n v="47"/>
    <x v="1"/>
  </r>
  <r>
    <n v="32.595999999999997"/>
    <n v="15"/>
    <x v="3"/>
  </r>
  <r>
    <n v="61.811999999999998"/>
    <n v="71"/>
    <x v="1"/>
  </r>
  <r>
    <n v="50.414000000000001"/>
    <n v="94"/>
    <x v="1"/>
  </r>
  <r>
    <n v="46.179000000000002"/>
    <n v="58"/>
    <x v="1"/>
  </r>
  <r>
    <n v="41.563000000000002"/>
    <n v="72"/>
    <x v="3"/>
  </r>
  <r>
    <n v="90.54"/>
    <n v="83"/>
    <x v="4"/>
  </r>
  <r>
    <n v="93.213999999999999"/>
    <n v="79"/>
    <x v="4"/>
  </r>
  <r>
    <n v="68.881"/>
    <n v="19"/>
    <x v="2"/>
  </r>
  <r>
    <n v="22.989000000000001"/>
    <n v="25"/>
    <x v="3"/>
  </r>
  <r>
    <n v="59.466999999999999"/>
    <n v="17"/>
    <x v="1"/>
  </r>
  <r>
    <n v="82.37"/>
    <n v="100"/>
    <x v="2"/>
  </r>
  <r>
    <n v="69.116"/>
    <n v="15"/>
    <x v="2"/>
  </r>
  <r>
    <n v="66.632999999999996"/>
    <n v="86"/>
    <x v="2"/>
  </r>
  <r>
    <n v="19.917000000000002"/>
    <n v="139"/>
    <x v="0"/>
  </r>
  <r>
    <n v="34.683999999999997"/>
    <n v="97"/>
    <x v="3"/>
  </r>
  <r>
    <n v="29.614000000000001"/>
    <n v="6"/>
    <x v="3"/>
  </r>
  <r>
    <n v="17.690999999999999"/>
    <n v="25"/>
    <x v="0"/>
  </r>
  <r>
    <n v="8.702"/>
    <n v="150"/>
    <x v="0"/>
  </r>
  <r>
    <n v="53.198"/>
    <n v="72"/>
    <x v="1"/>
  </r>
  <r>
    <n v="59.451999999999998"/>
    <n v="114"/>
    <x v="1"/>
  </r>
  <r>
    <n v="37.430999999999997"/>
    <n v="75"/>
    <x v="3"/>
  </r>
  <r>
    <n v="48.484999999999999"/>
    <n v="17"/>
    <x v="1"/>
  </r>
  <r>
    <n v="48.764000000000003"/>
    <n v="52"/>
    <x v="1"/>
  </r>
  <r>
    <n v="77.566999999999993"/>
    <n v="29"/>
    <x v="2"/>
  </r>
  <r>
    <n v="88.251000000000005"/>
    <n v="106"/>
    <x v="4"/>
  </r>
  <r>
    <n v="29.036999999999999"/>
    <n v="24"/>
    <x v="3"/>
  </r>
  <r>
    <n v="41.875999999999998"/>
    <n v="35"/>
    <x v="3"/>
  </r>
  <r>
    <n v="43.820999999999998"/>
    <n v="27"/>
    <x v="3"/>
  </r>
  <r>
    <n v="78.427000000000007"/>
    <n v="103"/>
    <x v="2"/>
  </r>
  <r>
    <n v="49.826000000000001"/>
    <n v="22"/>
    <x v="1"/>
  </r>
  <r>
    <n v="83.674999999999997"/>
    <n v="69"/>
    <x v="2"/>
  </r>
  <r>
    <n v="46.741999999999997"/>
    <n v="41"/>
    <x v="1"/>
  </r>
  <r>
    <n v="77.100999999999999"/>
    <n v="82"/>
    <x v="2"/>
  </r>
  <r>
    <n v="51.88"/>
    <n v="34"/>
    <x v="1"/>
  </r>
  <r>
    <n v="81.266000000000005"/>
    <n v="30"/>
    <x v="2"/>
  </r>
  <r>
    <n v="31.344999999999999"/>
    <n v="47"/>
    <x v="3"/>
  </r>
  <r>
    <n v="81.611000000000004"/>
    <n v="115"/>
    <x v="2"/>
  </r>
  <r>
    <n v="49.843000000000004"/>
    <n v="19"/>
    <x v="1"/>
  </r>
  <r>
    <n v="19.718"/>
    <n v="80"/>
    <x v="0"/>
  </r>
  <r>
    <n v="27.7"/>
    <n v="59"/>
    <x v="3"/>
  </r>
  <r>
    <n v="45.447000000000003"/>
    <n v="44"/>
    <x v="1"/>
  </r>
  <r>
    <n v="62.951999999999998"/>
    <n v="55"/>
    <x v="1"/>
  </r>
  <r>
    <n v="39.926000000000002"/>
    <n v="48"/>
    <x v="3"/>
  </r>
  <r>
    <n v="26.83"/>
    <n v="23"/>
    <x v="3"/>
  </r>
  <r>
    <n v="47.259"/>
    <n v="13"/>
    <x v="1"/>
  </r>
  <r>
    <n v="63.597999999999999"/>
    <n v="34"/>
    <x v="1"/>
  </r>
  <r>
    <n v="61.579000000000001"/>
    <n v="43"/>
    <x v="1"/>
  </r>
  <r>
    <n v="78.978999999999999"/>
    <n v="42"/>
    <x v="2"/>
  </r>
  <r>
    <n v="78.134"/>
    <n v="63"/>
    <x v="2"/>
  </r>
  <r>
    <n v="14.388999999999999"/>
    <n v="43"/>
    <x v="0"/>
  </r>
  <r>
    <n v="34.430999999999997"/>
    <n v="12"/>
    <x v="3"/>
  </r>
  <r>
    <n v="73.447000000000003"/>
    <n v="50"/>
    <x v="2"/>
  </r>
  <r>
    <n v="108.227"/>
    <n v="109"/>
    <x v="4"/>
  </r>
  <r>
    <n v="68.197999999999993"/>
    <n v="90"/>
    <x v="2"/>
  </r>
  <r>
    <n v="48.252000000000002"/>
    <n v="63"/>
    <x v="1"/>
  </r>
  <r>
    <n v="67.492999999999995"/>
    <n v="5"/>
    <x v="2"/>
  </r>
  <r>
    <n v="8.6549999999999994"/>
    <n v="18"/>
    <x v="0"/>
  </r>
  <r>
    <n v="122.913"/>
    <n v="82"/>
    <x v="4"/>
  </r>
  <r>
    <n v="81.756"/>
    <n v="91"/>
    <x v="2"/>
  </r>
  <r>
    <n v="76.995999999999995"/>
    <n v="64"/>
    <x v="2"/>
  </r>
  <r>
    <n v="40.551000000000002"/>
    <n v="29"/>
    <x v="3"/>
  </r>
  <r>
    <n v="56.929000000000002"/>
    <n v="59"/>
    <x v="1"/>
  </r>
  <r>
    <n v="58.874000000000002"/>
    <n v="64"/>
    <x v="1"/>
  </r>
  <r>
    <n v="10.159000000000001"/>
    <n v="9"/>
    <x v="0"/>
  </r>
  <r>
    <n v="37.042999999999999"/>
    <n v="40"/>
    <x v="3"/>
  </r>
  <r>
    <n v="53.613"/>
    <n v="80"/>
    <x v="1"/>
  </r>
  <r>
    <n v="46.360999999999997"/>
    <n v="49"/>
    <x v="1"/>
  </r>
  <r>
    <n v="55.649000000000001"/>
    <n v="53"/>
    <x v="1"/>
  </r>
  <r>
    <n v="32.064999999999998"/>
    <n v="33"/>
    <x v="3"/>
  </r>
  <r>
    <n v="8.5210000000000008"/>
    <n v="14"/>
    <x v="0"/>
  </r>
  <r>
    <n v="31.047999999999998"/>
    <n v="48"/>
    <x v="3"/>
  </r>
  <r>
    <n v="15.81"/>
    <n v="24"/>
    <x v="0"/>
  </r>
  <r>
    <n v="52.011000000000003"/>
    <n v="40"/>
    <x v="1"/>
  </r>
  <r>
    <n v="19.332999999999998"/>
    <n v="11"/>
    <x v="0"/>
  </r>
  <r>
    <n v="22.359000000000002"/>
    <n v="39"/>
    <x v="3"/>
  </r>
  <r>
    <n v="23.946000000000002"/>
    <n v="10"/>
    <x v="3"/>
  </r>
  <r>
    <n v="49.584000000000003"/>
    <n v="48"/>
    <x v="1"/>
  </r>
  <r>
    <n v="17.37"/>
    <n v="14"/>
    <x v="0"/>
  </r>
  <r>
    <n v="37.393000000000001"/>
    <n v="63"/>
    <x v="3"/>
  </r>
  <r>
    <n v="79.382000000000005"/>
    <n v="34"/>
    <x v="2"/>
  </r>
  <r>
    <n v="48.103000000000002"/>
    <n v="97"/>
    <x v="1"/>
  </r>
  <r>
    <n v="33.335999999999999"/>
    <n v="52"/>
    <x v="3"/>
  </r>
  <r>
    <n v="80.941000000000003"/>
    <n v="106"/>
    <x v="2"/>
  </r>
  <r>
    <n v="38.837000000000003"/>
    <n v="12"/>
    <x v="3"/>
  </r>
  <r>
    <n v="80.108999999999995"/>
    <n v="115"/>
    <x v="2"/>
  </r>
  <r>
    <n v="84.346000000000004"/>
    <n v="47"/>
    <x v="2"/>
  </r>
  <r>
    <n v="38.698"/>
    <n v="66"/>
    <x v="3"/>
  </r>
  <r>
    <n v="53.28"/>
    <n v="6"/>
    <x v="1"/>
  </r>
  <r>
    <n v="66.981999999999999"/>
    <n v="76"/>
    <x v="2"/>
  </r>
  <r>
    <n v="21.126999999999999"/>
    <n v="46"/>
    <x v="0"/>
  </r>
  <r>
    <n v="21.079000000000001"/>
    <n v="52"/>
    <x v="0"/>
  </r>
  <r>
    <n v="14.46"/>
    <n v="13"/>
    <x v="0"/>
  </r>
  <r>
    <n v="39.276000000000003"/>
    <n v="58"/>
    <x v="3"/>
  </r>
  <r>
    <n v="89.844999999999999"/>
    <n v="14"/>
    <x v="4"/>
  </r>
  <r>
    <n v="75.736000000000004"/>
    <n v="8"/>
    <x v="2"/>
  </r>
  <r>
    <n v="38.142000000000003"/>
    <n v="76"/>
    <x v="3"/>
  </r>
  <r>
    <n v="7.3719999999999999"/>
    <n v="18"/>
    <x v="0"/>
  </r>
  <r>
    <n v="54.445999999999998"/>
    <n v="45"/>
    <x v="1"/>
  </r>
  <r>
    <n v="73.381"/>
    <n v="31"/>
    <x v="2"/>
  </r>
  <r>
    <n v="88.269000000000005"/>
    <n v="118"/>
    <x v="4"/>
  </r>
  <r>
    <n v="52.216000000000001"/>
    <n v="63"/>
    <x v="1"/>
  </r>
  <r>
    <n v="65.174000000000007"/>
    <n v="35"/>
    <x v="1"/>
  </r>
  <r>
    <n v="12.454000000000001"/>
    <n v="30"/>
    <x v="0"/>
  </r>
  <r>
    <n v="30.308"/>
    <n v="66"/>
    <x v="3"/>
  </r>
  <r>
    <n v="21.396000000000001"/>
    <n v="93"/>
    <x v="0"/>
  </r>
  <r>
    <n v="28.696999999999999"/>
    <n v="80"/>
    <x v="3"/>
  </r>
  <r>
    <n v="108.714"/>
    <n v="87"/>
    <x v="4"/>
  </r>
  <r>
    <n v="41.234999999999999"/>
    <n v="38"/>
    <x v="3"/>
  </r>
  <r>
    <n v="54.036999999999999"/>
    <n v="28"/>
    <x v="1"/>
  </r>
  <r>
    <n v="24.859000000000002"/>
    <n v="13"/>
    <x v="3"/>
  </r>
  <r>
    <n v="34.957000000000001"/>
    <n v="48"/>
    <x v="3"/>
  </r>
  <r>
    <n v="70.081000000000003"/>
    <n v="95"/>
    <x v="2"/>
  </r>
  <r>
    <n v="56.091000000000001"/>
    <n v="11"/>
    <x v="1"/>
  </r>
  <r>
    <n v="64.025000000000006"/>
    <n v="83"/>
    <x v="1"/>
  </r>
  <r>
    <n v="22.879000000000001"/>
    <n v="37"/>
    <x v="3"/>
  </r>
  <r>
    <n v="7.2770000000000001"/>
    <n v="11"/>
    <x v="0"/>
  </r>
  <r>
    <n v="56.250999999999998"/>
    <n v="27"/>
    <x v="1"/>
  </r>
  <r>
    <n v="22.423999999999999"/>
    <n v="38"/>
    <x v="3"/>
  </r>
  <r>
    <n v="31.222999999999999"/>
    <n v="43"/>
    <x v="3"/>
  </r>
  <r>
    <n v="67.263999999999996"/>
    <n v="28"/>
    <x v="2"/>
  </r>
  <r>
    <n v="37.622"/>
    <n v="99"/>
    <x v="3"/>
  </r>
  <r>
    <n v="32.847000000000001"/>
    <n v="18"/>
    <x v="3"/>
  </r>
  <r>
    <n v="38.247999999999998"/>
    <n v="24"/>
    <x v="3"/>
  </r>
  <r>
    <n v="20.559000000000001"/>
    <n v="56"/>
    <x v="0"/>
  </r>
  <r>
    <n v="47.703000000000003"/>
    <n v="51"/>
    <x v="1"/>
  </r>
  <r>
    <n v="25.73"/>
    <n v="86"/>
    <x v="3"/>
  </r>
  <r>
    <n v="65.188000000000002"/>
    <n v="66"/>
    <x v="1"/>
  </r>
  <r>
    <n v="69.259"/>
    <n v="44"/>
    <x v="2"/>
  </r>
  <r>
    <n v="21.105"/>
    <n v="62"/>
    <x v="0"/>
  </r>
  <r>
    <n v="83.373000000000005"/>
    <n v="6"/>
    <x v="2"/>
  </r>
  <r>
    <n v="49.087000000000003"/>
    <n v="58"/>
    <x v="1"/>
  </r>
  <r>
    <n v="31.585000000000001"/>
    <n v="80"/>
    <x v="3"/>
  </r>
  <r>
    <n v="8.7080000000000002"/>
    <n v="13"/>
    <x v="0"/>
  </r>
  <r>
    <n v="29.417000000000002"/>
    <n v="70"/>
    <x v="3"/>
  </r>
  <r>
    <n v="63.65"/>
    <n v="72"/>
    <x v="1"/>
  </r>
  <r>
    <n v="37.139000000000003"/>
    <n v="93"/>
    <x v="3"/>
  </r>
  <r>
    <n v="59.518999999999998"/>
    <n v="52"/>
    <x v="1"/>
  </r>
  <r>
    <n v="53.723999999999997"/>
    <n v="25"/>
    <x v="1"/>
  </r>
  <r>
    <n v="36.396000000000001"/>
    <n v="10"/>
    <x v="3"/>
  </r>
  <r>
    <n v="28.404"/>
    <n v="83"/>
    <x v="3"/>
  </r>
  <r>
    <n v="56.265999999999998"/>
    <n v="36"/>
    <x v="1"/>
  </r>
  <r>
    <n v="65.697000000000003"/>
    <n v="96"/>
    <x v="1"/>
  </r>
  <r>
    <n v="56.802999999999997"/>
    <n v="72"/>
    <x v="1"/>
  </r>
  <r>
    <n v="68.638000000000005"/>
    <n v="16"/>
    <x v="2"/>
  </r>
  <r>
    <n v="67.024000000000001"/>
    <n v="67"/>
    <x v="2"/>
  </r>
  <r>
    <n v="23.2"/>
    <n v="49"/>
    <x v="3"/>
  </r>
  <r>
    <n v="49.152999999999999"/>
    <n v="45"/>
    <x v="1"/>
  </r>
  <r>
    <n v="52.996000000000002"/>
    <n v="57"/>
    <x v="1"/>
  </r>
  <r>
    <n v="26.882000000000001"/>
    <n v="45"/>
    <x v="3"/>
  </r>
  <r>
    <n v="52.482999999999997"/>
    <n v="92"/>
    <x v="1"/>
  </r>
  <r>
    <n v="55.899000000000001"/>
    <n v="53"/>
    <x v="1"/>
  </r>
  <r>
    <n v="45.930999999999997"/>
    <n v="43"/>
    <x v="1"/>
  </r>
  <r>
    <n v="44.101999999999997"/>
    <n v="65"/>
    <x v="1"/>
  </r>
  <r>
    <n v="56.399000000000001"/>
    <n v="50"/>
    <x v="1"/>
  </r>
  <r>
    <n v="28.715"/>
    <n v="33"/>
    <x v="3"/>
  </r>
  <r>
    <n v="68.61"/>
    <n v="99"/>
    <x v="2"/>
  </r>
  <r>
    <n v="46.334000000000003"/>
    <n v="44"/>
    <x v="1"/>
  </r>
  <r>
    <n v="52.887"/>
    <n v="57"/>
    <x v="1"/>
  </r>
  <r>
    <n v="60.918999999999997"/>
    <n v="65"/>
    <x v="1"/>
  </r>
  <r>
    <n v="58.548000000000002"/>
    <n v="52"/>
    <x v="1"/>
  </r>
  <r>
    <n v="66.304000000000002"/>
    <n v="6"/>
    <x v="2"/>
  </r>
  <r>
    <n v="50.298000000000002"/>
    <n v="41"/>
    <x v="1"/>
  </r>
  <r>
    <n v="68.683000000000007"/>
    <n v="38"/>
    <x v="2"/>
  </r>
  <r>
    <n v="47.271999999999998"/>
    <n v="68"/>
    <x v="1"/>
  </r>
  <r>
    <n v="22.423999999999999"/>
    <n v="15"/>
    <x v="3"/>
  </r>
  <r>
    <n v="36.564"/>
    <n v="27"/>
    <x v="3"/>
  </r>
  <r>
    <n v="13.78"/>
    <n v="14"/>
    <x v="0"/>
  </r>
  <r>
    <n v="55.085999999999999"/>
    <n v="57"/>
    <x v="1"/>
  </r>
  <r>
    <n v="31.138999999999999"/>
    <n v="63"/>
    <x v="3"/>
  </r>
  <r>
    <n v="60.865000000000002"/>
    <n v="44"/>
    <x v="1"/>
  </r>
  <r>
    <n v="53.237000000000002"/>
    <n v="35"/>
    <x v="1"/>
  </r>
  <r>
    <n v="10.146000000000001"/>
    <n v="6"/>
    <x v="0"/>
  </r>
  <r>
    <n v="42.595999999999997"/>
    <n v="38"/>
    <x v="3"/>
  </r>
  <r>
    <n v="39.588000000000001"/>
    <n v="50"/>
    <x v="3"/>
  </r>
  <r>
    <n v="28.082000000000001"/>
    <n v="45"/>
    <x v="3"/>
  </r>
  <r>
    <n v="47.07"/>
    <n v="51"/>
    <x v="1"/>
  </r>
  <r>
    <n v="47.037999999999997"/>
    <n v="77"/>
    <x v="1"/>
  </r>
  <r>
    <n v="38.031999999999996"/>
    <n v="39"/>
    <x v="3"/>
  </r>
  <r>
    <n v="61.677"/>
    <n v="88"/>
    <x v="1"/>
  </r>
  <r>
    <n v="29.225000000000001"/>
    <n v="13"/>
    <x v="3"/>
  </r>
  <r>
    <n v="53.48"/>
    <n v="43"/>
    <x v="1"/>
  </r>
  <r>
    <n v="36.409999999999997"/>
    <n v="65"/>
    <x v="3"/>
  </r>
  <r>
    <n v="33.863"/>
    <n v="35"/>
    <x v="3"/>
  </r>
  <r>
    <n v="93.712999999999994"/>
    <n v="17"/>
    <x v="4"/>
  </r>
  <r>
    <n v="47.353000000000002"/>
    <n v="88"/>
    <x v="1"/>
  </r>
  <r>
    <n v="19.672999999999998"/>
    <n v="11"/>
    <x v="0"/>
  </r>
  <r>
    <n v="123.724"/>
    <n v="104"/>
    <x v="4"/>
  </r>
  <r>
    <n v="12.815"/>
    <n v="26"/>
    <x v="0"/>
  </r>
  <r>
    <n v="22.757000000000001"/>
    <n v="84"/>
    <x v="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n v="17.388000000000002"/>
    <x v="0"/>
  </r>
  <r>
    <n v="46.656999999999996"/>
    <x v="1"/>
  </r>
  <r>
    <n v="68.616"/>
    <x v="2"/>
  </r>
  <r>
    <n v="28.391999999999999"/>
    <x v="3"/>
  </r>
  <r>
    <n v="43.87"/>
    <x v="3"/>
  </r>
  <r>
    <n v="65.685000000000002"/>
    <x v="1"/>
  </r>
  <r>
    <n v="25.864999999999998"/>
    <x v="3"/>
  </r>
  <r>
    <n v="40.753999999999998"/>
    <x v="3"/>
  </r>
  <r>
    <n v="16.122"/>
    <x v="0"/>
  </r>
  <r>
    <n v="43.776000000000003"/>
    <x v="3"/>
  </r>
  <r>
    <n v="63.607999999999997"/>
    <x v="1"/>
  </r>
  <r>
    <n v="35.884"/>
    <x v="3"/>
  </r>
  <r>
    <n v="59.942999999999998"/>
    <x v="1"/>
  </r>
  <r>
    <n v="55.834000000000003"/>
    <x v="1"/>
  </r>
  <r>
    <n v="15.707000000000001"/>
    <x v="0"/>
  </r>
  <r>
    <n v="67.504000000000005"/>
    <x v="2"/>
  </r>
  <r>
    <n v="42.305"/>
    <x v="3"/>
  </r>
  <r>
    <n v="45.494"/>
    <x v="1"/>
  </r>
  <r>
    <n v="25.003"/>
    <x v="3"/>
  </r>
  <r>
    <n v="46.646000000000001"/>
    <x v="1"/>
  </r>
  <r>
    <n v="32.247999999999998"/>
    <x v="3"/>
  </r>
  <r>
    <n v="71.543000000000006"/>
    <x v="2"/>
  </r>
  <r>
    <n v="37.268999999999998"/>
    <x v="3"/>
  </r>
  <r>
    <n v="34.418999999999997"/>
    <x v="3"/>
  </r>
  <r>
    <n v="62.975000000000001"/>
    <x v="1"/>
  </r>
  <r>
    <n v="51.877000000000002"/>
    <x v="1"/>
  </r>
  <r>
    <n v="38.255000000000003"/>
    <x v="3"/>
  </r>
  <r>
    <n v="20.73"/>
    <x v="0"/>
  </r>
  <r>
    <n v="42.258000000000003"/>
    <x v="3"/>
  </r>
  <r>
    <n v="66.81"/>
    <x v="2"/>
  </r>
  <r>
    <n v="8.32"/>
    <x v="0"/>
  </r>
  <r>
    <n v="76.06"/>
    <x v="2"/>
  </r>
  <r>
    <n v="69.683000000000007"/>
    <x v="2"/>
  </r>
  <r>
    <n v="12.763"/>
    <x v="0"/>
  </r>
  <r>
    <n v="71.554000000000002"/>
    <x v="2"/>
  </r>
  <r>
    <n v="25.687000000000001"/>
    <x v="3"/>
  </r>
  <r>
    <n v="79.507999999999996"/>
    <x v="2"/>
  </r>
  <r>
    <n v="55.863999999999997"/>
    <x v="1"/>
  </r>
  <r>
    <n v="21.869"/>
    <x v="0"/>
  </r>
  <r>
    <n v="48.048999999999999"/>
    <x v="1"/>
  </r>
  <r>
    <n v="56.99"/>
    <x v="1"/>
  </r>
  <r>
    <n v="56.372999999999998"/>
    <x v="1"/>
  </r>
  <r>
    <n v="44.795000000000002"/>
    <x v="1"/>
  </r>
  <r>
    <n v="22.158000000000001"/>
    <x v="3"/>
  </r>
  <r>
    <n v="59.811999999999998"/>
    <x v="1"/>
  </r>
  <r>
    <n v="28.178000000000001"/>
    <x v="3"/>
  </r>
  <r>
    <n v="30.478000000000002"/>
    <x v="3"/>
  </r>
  <r>
    <n v="33.076000000000001"/>
    <x v="3"/>
  </r>
  <r>
    <n v="38.529000000000003"/>
    <x v="3"/>
  </r>
  <r>
    <n v="25.236000000000001"/>
    <x v="3"/>
  </r>
  <r>
    <n v="43.134"/>
    <x v="3"/>
  </r>
  <r>
    <n v="40.027999999999999"/>
    <x v="3"/>
  </r>
  <r>
    <n v="18.603000000000002"/>
    <x v="0"/>
  </r>
  <r>
    <n v="29.172999999999998"/>
    <x v="3"/>
  </r>
  <r>
    <n v="36.603000000000002"/>
    <x v="3"/>
  </r>
  <r>
    <n v="73.004000000000005"/>
    <x v="2"/>
  </r>
  <r>
    <n v="56.515000000000001"/>
    <x v="1"/>
  </r>
  <r>
    <n v="61.512"/>
    <x v="1"/>
  </r>
  <r>
    <n v="80.498000000000005"/>
    <x v="2"/>
  </r>
  <r>
    <n v="27.545999999999999"/>
    <x v="3"/>
  </r>
  <r>
    <n v="69.968000000000004"/>
    <x v="2"/>
  </r>
  <r>
    <n v="79.772000000000006"/>
    <x v="2"/>
  </r>
  <r>
    <n v="25.855"/>
    <x v="3"/>
  </r>
  <r>
    <n v="19.073"/>
    <x v="0"/>
  </r>
  <r>
    <n v="26.183"/>
    <x v="3"/>
  </r>
  <r>
    <n v="13.362"/>
    <x v="0"/>
  </r>
  <r>
    <n v="68.884"/>
    <x v="2"/>
  </r>
  <r>
    <n v="9.5280000000000005"/>
    <x v="0"/>
  </r>
  <r>
    <n v="88.766999999999996"/>
    <x v="4"/>
  </r>
  <r>
    <n v="68.938000000000002"/>
    <x v="2"/>
  </r>
  <r>
    <n v="35.783000000000001"/>
    <x v="3"/>
  </r>
  <r>
    <n v="68.212000000000003"/>
    <x v="2"/>
  </r>
  <r>
    <n v="55.284999999999997"/>
    <x v="1"/>
  </r>
  <r>
    <n v="32.976999999999997"/>
    <x v="3"/>
  </r>
  <r>
    <n v="44.139000000000003"/>
    <x v="1"/>
  </r>
  <r>
    <n v="24.19"/>
    <x v="3"/>
  </r>
  <r>
    <n v="11.8"/>
    <x v="0"/>
  </r>
  <r>
    <n v="41.859000000000002"/>
    <x v="3"/>
  </r>
  <r>
    <n v="35.222999999999999"/>
    <x v="3"/>
  </r>
  <r>
    <n v="58.381"/>
    <x v="1"/>
  </r>
  <r>
    <n v="33.25"/>
    <x v="3"/>
  </r>
  <r>
    <n v="70.576999999999998"/>
    <x v="2"/>
  </r>
  <r>
    <n v="37.936999999999998"/>
    <x v="3"/>
  </r>
  <r>
    <n v="83.709000000000003"/>
    <x v="2"/>
  </r>
  <r>
    <n v="54.889000000000003"/>
    <x v="1"/>
  </r>
  <r>
    <n v="59.725999999999999"/>
    <x v="1"/>
  </r>
  <r>
    <n v="32.404000000000003"/>
    <x v="3"/>
  </r>
  <r>
    <n v="67.697000000000003"/>
    <x v="2"/>
  </r>
  <r>
    <n v="73.944999999999993"/>
    <x v="2"/>
  </r>
  <r>
    <n v="43.927999999999997"/>
    <x v="3"/>
  </r>
  <r>
    <n v="61.006"/>
    <x v="1"/>
  </r>
  <r>
    <n v="35.479999999999997"/>
    <x v="3"/>
  </r>
  <r>
    <n v="68.980999999999995"/>
    <x v="2"/>
  </r>
  <r>
    <n v="43.146000000000001"/>
    <x v="3"/>
  </r>
  <r>
    <n v="78.716999999999999"/>
    <x v="2"/>
  </r>
  <r>
    <n v="25.960999999999999"/>
    <x v="3"/>
  </r>
  <r>
    <n v="84.213999999999999"/>
    <x v="2"/>
  </r>
  <r>
    <n v="44.106999999999999"/>
    <x v="1"/>
  </r>
  <r>
    <n v="66.272000000000006"/>
    <x v="2"/>
  </r>
  <r>
    <n v="61.655999999999999"/>
    <x v="1"/>
  </r>
  <r>
    <n v="62.750999999999998"/>
    <x v="1"/>
  </r>
  <r>
    <n v="67.902000000000001"/>
    <x v="2"/>
  </r>
  <r>
    <n v="26.847999999999999"/>
    <x v="3"/>
  </r>
  <r>
    <n v="70.77"/>
    <x v="2"/>
  </r>
  <r>
    <n v="60.732999999999997"/>
    <x v="1"/>
  </r>
  <r>
    <n v="40.055"/>
    <x v="3"/>
  </r>
  <r>
    <n v="105.56"/>
    <x v="4"/>
  </r>
  <r>
    <n v="76.233000000000004"/>
    <x v="2"/>
  </r>
  <r>
    <n v="66.096999999999994"/>
    <x v="2"/>
  </r>
  <r>
    <n v="23.646000000000001"/>
    <x v="3"/>
  </r>
  <r>
    <n v="27.632999999999999"/>
    <x v="3"/>
  </r>
  <r>
    <n v="83.396000000000001"/>
    <x v="2"/>
  </r>
  <r>
    <n v="56.95"/>
    <x v="1"/>
  </r>
  <r>
    <n v="25.79"/>
    <x v="3"/>
  </r>
  <r>
    <n v="27.190999999999999"/>
    <x v="3"/>
  </r>
  <r>
    <n v="60.615000000000002"/>
    <x v="1"/>
  </r>
  <r>
    <n v="16.399999999999999"/>
    <x v="0"/>
  </r>
  <r>
    <n v="64.406000000000006"/>
    <x v="1"/>
  </r>
  <r>
    <n v="79.677999999999997"/>
    <x v="2"/>
  </r>
  <r>
    <n v="74.650999999999996"/>
    <x v="2"/>
  </r>
  <r>
    <n v="86.753"/>
    <x v="2"/>
  </r>
  <r>
    <n v="31.524999999999999"/>
    <x v="3"/>
  </r>
  <r>
    <n v="34.079000000000001"/>
    <x v="3"/>
  </r>
  <r>
    <n v="9.74"/>
    <x v="0"/>
  </r>
  <r>
    <n v="55.662999999999997"/>
    <x v="1"/>
  </r>
  <r>
    <n v="58.087000000000003"/>
    <x v="1"/>
  </r>
  <r>
    <n v="45.101999999999997"/>
    <x v="1"/>
  </r>
  <r>
    <n v="54.357999999999997"/>
    <x v="1"/>
  </r>
  <r>
    <n v="72.251999999999995"/>
    <x v="2"/>
  </r>
  <r>
    <n v="16.61"/>
    <x v="0"/>
  </r>
  <r>
    <n v="21.760999999999999"/>
    <x v="0"/>
  </r>
  <r>
    <n v="79.548000000000002"/>
    <x v="2"/>
  </r>
  <r>
    <n v="29.475999999999999"/>
    <x v="3"/>
  </r>
  <r>
    <n v="16.651"/>
    <x v="0"/>
  </r>
  <r>
    <n v="39.646999999999998"/>
    <x v="3"/>
  </r>
  <r>
    <n v="69.522999999999996"/>
    <x v="2"/>
  </r>
  <r>
    <n v="76.668000000000006"/>
    <x v="2"/>
  </r>
  <r>
    <n v="137.63999999999999"/>
    <x v="5"/>
  </r>
  <r>
    <n v="63.89"/>
    <x v="1"/>
  </r>
  <r>
    <n v="72.155000000000001"/>
    <x v="2"/>
  </r>
  <r>
    <n v="30.177"/>
    <x v="3"/>
  </r>
  <r>
    <n v="49.253"/>
    <x v="1"/>
  </r>
  <r>
    <n v="85.275999999999996"/>
    <x v="2"/>
  </r>
  <r>
    <n v="45.779000000000003"/>
    <x v="1"/>
  </r>
  <r>
    <n v="56.048000000000002"/>
    <x v="1"/>
  </r>
  <r>
    <n v="40.249000000000002"/>
    <x v="3"/>
  </r>
  <r>
    <n v="88.394000000000005"/>
    <x v="4"/>
  </r>
  <r>
    <n v="49.506"/>
    <x v="1"/>
  </r>
  <r>
    <n v="62.095999999999997"/>
    <x v="1"/>
  </r>
  <r>
    <n v="92.180999999999997"/>
    <x v="4"/>
  </r>
  <r>
    <n v="45.167000000000002"/>
    <x v="1"/>
  </r>
  <r>
    <n v="86.382999999999996"/>
    <x v="2"/>
  </r>
  <r>
    <n v="29.419"/>
    <x v="3"/>
  </r>
  <r>
    <n v="70.506"/>
    <x v="2"/>
  </r>
  <r>
    <n v="93.763999999999996"/>
    <x v="4"/>
  </r>
  <r>
    <n v="6.0190000000000001"/>
    <x v="0"/>
  </r>
  <r>
    <n v="87.414000000000001"/>
    <x v="2"/>
  </r>
  <r>
    <n v="61.896000000000001"/>
    <x v="1"/>
  </r>
  <r>
    <n v="80.953999999999994"/>
    <x v="2"/>
  </r>
  <r>
    <n v="41.207999999999998"/>
    <x v="3"/>
  </r>
  <r>
    <n v="18.265000000000001"/>
    <x v="0"/>
  </r>
  <r>
    <n v="55.404000000000003"/>
    <x v="1"/>
  </r>
  <r>
    <n v="61.651000000000003"/>
    <x v="1"/>
  </r>
  <r>
    <n v="83.631"/>
    <x v="2"/>
  </r>
  <r>
    <n v="134.34700000000001"/>
    <x v="5"/>
  </r>
  <r>
    <n v="26.457999999999998"/>
    <x v="3"/>
  </r>
  <r>
    <n v="61.62"/>
    <x v="1"/>
  </r>
  <r>
    <n v="26.295999999999999"/>
    <x v="3"/>
  </r>
  <r>
    <n v="39.817"/>
    <x v="3"/>
  </r>
  <r>
    <n v="88.3"/>
    <x v="4"/>
  </r>
  <r>
    <n v="78.733000000000004"/>
    <x v="2"/>
  </r>
  <r>
    <n v="28.933"/>
    <x v="3"/>
  </r>
  <r>
    <n v="73.225999999999999"/>
    <x v="2"/>
  </r>
  <r>
    <n v="49.207000000000001"/>
    <x v="1"/>
  </r>
  <r>
    <n v="31.866"/>
    <x v="3"/>
  </r>
  <r>
    <n v="7.6269999999999998"/>
    <x v="0"/>
  </r>
  <r>
    <n v="5.6929999999999996"/>
    <x v="0"/>
  </r>
  <r>
    <n v="45.558999999999997"/>
    <x v="1"/>
  </r>
  <r>
    <n v="40.588000000000001"/>
    <x v="3"/>
  </r>
  <r>
    <n v="74.736000000000004"/>
    <x v="2"/>
  </r>
  <r>
    <n v="42.247999999999998"/>
    <x v="3"/>
  </r>
  <r>
    <n v="44.661999999999999"/>
    <x v="1"/>
  </r>
  <r>
    <n v="45.543999999999997"/>
    <x v="1"/>
  </r>
  <r>
    <n v="16.702999999999999"/>
    <x v="0"/>
  </r>
  <r>
    <n v="31.026"/>
    <x v="3"/>
  </r>
  <r>
    <n v="75.802000000000007"/>
    <x v="2"/>
  </r>
  <r>
    <n v="56.418999999999997"/>
    <x v="1"/>
  </r>
  <r>
    <n v="85.94"/>
    <x v="2"/>
  </r>
  <r>
    <n v="11.473000000000001"/>
    <x v="0"/>
  </r>
  <r>
    <n v="53.555999999999997"/>
    <x v="1"/>
  </r>
  <r>
    <n v="32.177"/>
    <x v="3"/>
  </r>
  <r>
    <n v="21.138000000000002"/>
    <x v="0"/>
  </r>
  <r>
    <n v="15.818"/>
    <x v="0"/>
  </r>
  <r>
    <n v="22.971"/>
    <x v="3"/>
  </r>
  <r>
    <n v="84.477999999999994"/>
    <x v="2"/>
  </r>
  <r>
    <n v="21.079000000000001"/>
    <x v="0"/>
  </r>
  <r>
    <n v="46.56"/>
    <x v="1"/>
  </r>
  <r>
    <n v="74.834000000000003"/>
    <x v="2"/>
  </r>
  <r>
    <n v="70.63"/>
    <x v="2"/>
  </r>
  <r>
    <n v="7.8840000000000003"/>
    <x v="0"/>
  </r>
  <r>
    <n v="58.735999999999997"/>
    <x v="1"/>
  </r>
  <r>
    <n v="44.814999999999998"/>
    <x v="1"/>
  </r>
  <r>
    <n v="52.963999999999999"/>
    <x v="1"/>
  </r>
  <r>
    <n v="47.540999999999997"/>
    <x v="1"/>
  </r>
  <r>
    <n v="75.210999999999999"/>
    <x v="2"/>
  </r>
  <r>
    <n v="64.042000000000002"/>
    <x v="1"/>
  </r>
  <r>
    <n v="54.698"/>
    <x v="1"/>
  </r>
  <r>
    <n v="58.173000000000002"/>
    <x v="1"/>
  </r>
  <r>
    <n v="75.878"/>
    <x v="2"/>
  </r>
  <r>
    <n v="34.79"/>
    <x v="3"/>
  </r>
  <r>
    <n v="50.582999999999998"/>
    <x v="1"/>
  </r>
  <r>
    <n v="32.595999999999997"/>
    <x v="3"/>
  </r>
  <r>
    <n v="61.811999999999998"/>
    <x v="1"/>
  </r>
  <r>
    <n v="50.414000000000001"/>
    <x v="1"/>
  </r>
  <r>
    <n v="46.179000000000002"/>
    <x v="1"/>
  </r>
  <r>
    <n v="41.563000000000002"/>
    <x v="3"/>
  </r>
  <r>
    <n v="90.54"/>
    <x v="4"/>
  </r>
  <r>
    <n v="93.213999999999999"/>
    <x v="4"/>
  </r>
  <r>
    <n v="68.881"/>
    <x v="2"/>
  </r>
  <r>
    <n v="22.989000000000001"/>
    <x v="3"/>
  </r>
  <r>
    <n v="59.466999999999999"/>
    <x v="1"/>
  </r>
  <r>
    <n v="82.37"/>
    <x v="2"/>
  </r>
  <r>
    <n v="69.116"/>
    <x v="2"/>
  </r>
  <r>
    <n v="66.632999999999996"/>
    <x v="2"/>
  </r>
  <r>
    <n v="19.917000000000002"/>
    <x v="0"/>
  </r>
  <r>
    <n v="34.683999999999997"/>
    <x v="3"/>
  </r>
  <r>
    <n v="29.614000000000001"/>
    <x v="3"/>
  </r>
  <r>
    <n v="17.690999999999999"/>
    <x v="0"/>
  </r>
  <r>
    <n v="8.702"/>
    <x v="0"/>
  </r>
  <r>
    <n v="53.198"/>
    <x v="1"/>
  </r>
  <r>
    <n v="59.451999999999998"/>
    <x v="1"/>
  </r>
  <r>
    <n v="37.430999999999997"/>
    <x v="3"/>
  </r>
  <r>
    <n v="48.484999999999999"/>
    <x v="1"/>
  </r>
  <r>
    <n v="48.764000000000003"/>
    <x v="1"/>
  </r>
  <r>
    <n v="77.566999999999993"/>
    <x v="2"/>
  </r>
  <r>
    <n v="88.251000000000005"/>
    <x v="4"/>
  </r>
  <r>
    <n v="29.036999999999999"/>
    <x v="3"/>
  </r>
  <r>
    <n v="41.875999999999998"/>
    <x v="3"/>
  </r>
  <r>
    <n v="43.820999999999998"/>
    <x v="3"/>
  </r>
  <r>
    <n v="78.427000000000007"/>
    <x v="2"/>
  </r>
  <r>
    <n v="49.826000000000001"/>
    <x v="1"/>
  </r>
  <r>
    <n v="83.674999999999997"/>
    <x v="2"/>
  </r>
  <r>
    <n v="46.741999999999997"/>
    <x v="1"/>
  </r>
  <r>
    <n v="77.100999999999999"/>
    <x v="2"/>
  </r>
  <r>
    <n v="51.88"/>
    <x v="1"/>
  </r>
  <r>
    <n v="81.266000000000005"/>
    <x v="2"/>
  </r>
  <r>
    <n v="31.344999999999999"/>
    <x v="3"/>
  </r>
  <r>
    <n v="81.611000000000004"/>
    <x v="2"/>
  </r>
  <r>
    <n v="49.843000000000004"/>
    <x v="1"/>
  </r>
  <r>
    <n v="19.718"/>
    <x v="0"/>
  </r>
  <r>
    <n v="27.7"/>
    <x v="3"/>
  </r>
  <r>
    <n v="45.447000000000003"/>
    <x v="1"/>
  </r>
  <r>
    <n v="62.951999999999998"/>
    <x v="1"/>
  </r>
  <r>
    <n v="39.926000000000002"/>
    <x v="3"/>
  </r>
  <r>
    <n v="26.83"/>
    <x v="3"/>
  </r>
  <r>
    <n v="47.259"/>
    <x v="1"/>
  </r>
  <r>
    <n v="63.597999999999999"/>
    <x v="1"/>
  </r>
  <r>
    <n v="61.579000000000001"/>
    <x v="1"/>
  </r>
  <r>
    <n v="78.978999999999999"/>
    <x v="2"/>
  </r>
  <r>
    <n v="78.134"/>
    <x v="2"/>
  </r>
  <r>
    <n v="14.388999999999999"/>
    <x v="0"/>
  </r>
  <r>
    <n v="34.430999999999997"/>
    <x v="3"/>
  </r>
  <r>
    <n v="73.447000000000003"/>
    <x v="2"/>
  </r>
  <r>
    <n v="108.227"/>
    <x v="4"/>
  </r>
  <r>
    <n v="68.197999999999993"/>
    <x v="2"/>
  </r>
  <r>
    <n v="48.252000000000002"/>
    <x v="1"/>
  </r>
  <r>
    <n v="67.492999999999995"/>
    <x v="2"/>
  </r>
  <r>
    <n v="8.6549999999999994"/>
    <x v="0"/>
  </r>
  <r>
    <n v="122.913"/>
    <x v="4"/>
  </r>
  <r>
    <n v="81.756"/>
    <x v="2"/>
  </r>
  <r>
    <n v="76.995999999999995"/>
    <x v="2"/>
  </r>
  <r>
    <n v="40.551000000000002"/>
    <x v="3"/>
  </r>
  <r>
    <n v="56.929000000000002"/>
    <x v="1"/>
  </r>
  <r>
    <n v="58.874000000000002"/>
    <x v="1"/>
  </r>
  <r>
    <n v="10.159000000000001"/>
    <x v="0"/>
  </r>
  <r>
    <n v="37.042999999999999"/>
    <x v="3"/>
  </r>
  <r>
    <n v="53.613"/>
    <x v="1"/>
  </r>
  <r>
    <n v="46.360999999999997"/>
    <x v="1"/>
  </r>
  <r>
    <n v="55.649000000000001"/>
    <x v="1"/>
  </r>
  <r>
    <n v="32.064999999999998"/>
    <x v="3"/>
  </r>
  <r>
    <n v="8.5210000000000008"/>
    <x v="0"/>
  </r>
  <r>
    <n v="31.047999999999998"/>
    <x v="3"/>
  </r>
  <r>
    <n v="15.81"/>
    <x v="0"/>
  </r>
  <r>
    <n v="52.011000000000003"/>
    <x v="1"/>
  </r>
  <r>
    <n v="19.332999999999998"/>
    <x v="0"/>
  </r>
  <r>
    <n v="22.359000000000002"/>
    <x v="3"/>
  </r>
  <r>
    <n v="23.946000000000002"/>
    <x v="3"/>
  </r>
  <r>
    <n v="49.584000000000003"/>
    <x v="1"/>
  </r>
  <r>
    <n v="17.37"/>
    <x v="0"/>
  </r>
  <r>
    <n v="37.393000000000001"/>
    <x v="3"/>
  </r>
  <r>
    <n v="79.382000000000005"/>
    <x v="2"/>
  </r>
  <r>
    <n v="48.103000000000002"/>
    <x v="1"/>
  </r>
  <r>
    <n v="33.335999999999999"/>
    <x v="3"/>
  </r>
  <r>
    <n v="80.941000000000003"/>
    <x v="2"/>
  </r>
  <r>
    <n v="38.837000000000003"/>
    <x v="3"/>
  </r>
  <r>
    <n v="80.108999999999995"/>
    <x v="2"/>
  </r>
  <r>
    <n v="84.346000000000004"/>
    <x v="2"/>
  </r>
  <r>
    <n v="38.698"/>
    <x v="3"/>
  </r>
  <r>
    <n v="53.28"/>
    <x v="1"/>
  </r>
  <r>
    <n v="66.981999999999999"/>
    <x v="2"/>
  </r>
  <r>
    <n v="21.126999999999999"/>
    <x v="0"/>
  </r>
  <r>
    <n v="21.079000000000001"/>
    <x v="0"/>
  </r>
  <r>
    <n v="14.46"/>
    <x v="0"/>
  </r>
  <r>
    <n v="39.276000000000003"/>
    <x v="3"/>
  </r>
  <r>
    <n v="89.844999999999999"/>
    <x v="4"/>
  </r>
  <r>
    <n v="75.736000000000004"/>
    <x v="2"/>
  </r>
  <r>
    <n v="38.142000000000003"/>
    <x v="3"/>
  </r>
  <r>
    <n v="7.3719999999999999"/>
    <x v="0"/>
  </r>
  <r>
    <n v="54.445999999999998"/>
    <x v="1"/>
  </r>
  <r>
    <n v="73.381"/>
    <x v="2"/>
  </r>
  <r>
    <n v="88.269000000000005"/>
    <x v="4"/>
  </r>
  <r>
    <n v="52.216000000000001"/>
    <x v="1"/>
  </r>
  <r>
    <n v="65.174000000000007"/>
    <x v="1"/>
  </r>
  <r>
    <n v="12.454000000000001"/>
    <x v="0"/>
  </r>
  <r>
    <n v="30.308"/>
    <x v="3"/>
  </r>
  <r>
    <n v="21.396000000000001"/>
    <x v="0"/>
  </r>
  <r>
    <n v="28.696999999999999"/>
    <x v="3"/>
  </r>
  <r>
    <n v="108.714"/>
    <x v="4"/>
  </r>
  <r>
    <n v="41.234999999999999"/>
    <x v="3"/>
  </r>
  <r>
    <n v="54.036999999999999"/>
    <x v="1"/>
  </r>
  <r>
    <n v="24.859000000000002"/>
    <x v="3"/>
  </r>
  <r>
    <n v="34.957000000000001"/>
    <x v="3"/>
  </r>
  <r>
    <n v="70.081000000000003"/>
    <x v="2"/>
  </r>
  <r>
    <n v="56.091000000000001"/>
    <x v="1"/>
  </r>
  <r>
    <n v="64.025000000000006"/>
    <x v="1"/>
  </r>
  <r>
    <n v="22.879000000000001"/>
    <x v="3"/>
  </r>
  <r>
    <n v="7.2770000000000001"/>
    <x v="0"/>
  </r>
  <r>
    <n v="56.250999999999998"/>
    <x v="1"/>
  </r>
  <r>
    <n v="22.423999999999999"/>
    <x v="3"/>
  </r>
  <r>
    <n v="31.222999999999999"/>
    <x v="3"/>
  </r>
  <r>
    <n v="67.263999999999996"/>
    <x v="2"/>
  </r>
  <r>
    <n v="37.622"/>
    <x v="3"/>
  </r>
  <r>
    <n v="32.847000000000001"/>
    <x v="3"/>
  </r>
  <r>
    <n v="38.247999999999998"/>
    <x v="3"/>
  </r>
  <r>
    <n v="20.559000000000001"/>
    <x v="0"/>
  </r>
  <r>
    <n v="47.703000000000003"/>
    <x v="1"/>
  </r>
  <r>
    <n v="25.73"/>
    <x v="3"/>
  </r>
  <r>
    <n v="65.188000000000002"/>
    <x v="1"/>
  </r>
  <r>
    <n v="69.259"/>
    <x v="2"/>
  </r>
  <r>
    <n v="21.105"/>
    <x v="0"/>
  </r>
  <r>
    <n v="83.373000000000005"/>
    <x v="2"/>
  </r>
  <r>
    <n v="49.087000000000003"/>
    <x v="1"/>
  </r>
  <r>
    <n v="31.585000000000001"/>
    <x v="3"/>
  </r>
  <r>
    <n v="8.7080000000000002"/>
    <x v="0"/>
  </r>
  <r>
    <n v="29.417000000000002"/>
    <x v="3"/>
  </r>
  <r>
    <n v="63.65"/>
    <x v="1"/>
  </r>
  <r>
    <n v="37.139000000000003"/>
    <x v="3"/>
  </r>
  <r>
    <n v="59.518999999999998"/>
    <x v="1"/>
  </r>
  <r>
    <n v="53.723999999999997"/>
    <x v="1"/>
  </r>
  <r>
    <n v="36.396000000000001"/>
    <x v="3"/>
  </r>
  <r>
    <n v="28.404"/>
    <x v="3"/>
  </r>
  <r>
    <n v="56.265999999999998"/>
    <x v="1"/>
  </r>
  <r>
    <n v="65.697000000000003"/>
    <x v="1"/>
  </r>
  <r>
    <n v="56.802999999999997"/>
    <x v="1"/>
  </r>
  <r>
    <n v="68.638000000000005"/>
    <x v="2"/>
  </r>
  <r>
    <n v="67.024000000000001"/>
    <x v="2"/>
  </r>
  <r>
    <n v="23.2"/>
    <x v="3"/>
  </r>
  <r>
    <n v="49.152999999999999"/>
    <x v="1"/>
  </r>
  <r>
    <n v="52.996000000000002"/>
    <x v="1"/>
  </r>
  <r>
    <n v="26.882000000000001"/>
    <x v="3"/>
  </r>
  <r>
    <n v="52.482999999999997"/>
    <x v="1"/>
  </r>
  <r>
    <n v="55.899000000000001"/>
    <x v="1"/>
  </r>
  <r>
    <n v="45.930999999999997"/>
    <x v="1"/>
  </r>
  <r>
    <n v="44.101999999999997"/>
    <x v="1"/>
  </r>
  <r>
    <n v="56.399000000000001"/>
    <x v="1"/>
  </r>
  <r>
    <n v="28.715"/>
    <x v="3"/>
  </r>
  <r>
    <n v="68.61"/>
    <x v="2"/>
  </r>
  <r>
    <n v="46.334000000000003"/>
    <x v="1"/>
  </r>
  <r>
    <n v="52.887"/>
    <x v="1"/>
  </r>
  <r>
    <n v="60.918999999999997"/>
    <x v="1"/>
  </r>
  <r>
    <n v="58.548000000000002"/>
    <x v="1"/>
  </r>
  <r>
    <n v="66.304000000000002"/>
    <x v="2"/>
  </r>
  <r>
    <n v="50.298000000000002"/>
    <x v="1"/>
  </r>
  <r>
    <n v="68.683000000000007"/>
    <x v="2"/>
  </r>
  <r>
    <n v="47.271999999999998"/>
    <x v="1"/>
  </r>
  <r>
    <n v="22.423999999999999"/>
    <x v="3"/>
  </r>
  <r>
    <n v="36.564"/>
    <x v="3"/>
  </r>
  <r>
    <n v="13.78"/>
    <x v="0"/>
  </r>
  <r>
    <n v="55.085999999999999"/>
    <x v="1"/>
  </r>
  <r>
    <n v="31.138999999999999"/>
    <x v="3"/>
  </r>
  <r>
    <n v="60.865000000000002"/>
    <x v="1"/>
  </r>
  <r>
    <n v="53.237000000000002"/>
    <x v="1"/>
  </r>
  <r>
    <n v="10.146000000000001"/>
    <x v="0"/>
  </r>
  <r>
    <n v="42.595999999999997"/>
    <x v="3"/>
  </r>
  <r>
    <n v="39.588000000000001"/>
    <x v="3"/>
  </r>
  <r>
    <n v="28.082000000000001"/>
    <x v="3"/>
  </r>
  <r>
    <n v="47.07"/>
    <x v="1"/>
  </r>
  <r>
    <n v="47.037999999999997"/>
    <x v="1"/>
  </r>
  <r>
    <n v="38.031999999999996"/>
    <x v="3"/>
  </r>
  <r>
    <n v="61.677"/>
    <x v="1"/>
  </r>
  <r>
    <n v="29.225000000000001"/>
    <x v="3"/>
  </r>
  <r>
    <n v="53.48"/>
    <x v="1"/>
  </r>
  <r>
    <n v="36.409999999999997"/>
    <x v="3"/>
  </r>
  <r>
    <n v="33.863"/>
    <x v="3"/>
  </r>
  <r>
    <n v="93.712999999999994"/>
    <x v="4"/>
  </r>
  <r>
    <n v="47.353000000000002"/>
    <x v="1"/>
  </r>
  <r>
    <n v="19.672999999999998"/>
    <x v="0"/>
  </r>
  <r>
    <n v="123.724"/>
    <x v="4"/>
  </r>
  <r>
    <n v="12.815"/>
    <x v="0"/>
  </r>
  <r>
    <n v="22.75700000000000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2A3070-B193-1441-91A8-9CD0FA44B122}" name="PivotTable19" cacheId="6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Spending_Groups">
  <location ref="F25:I32" firstHeaderRow="0" firstDataRow="1" firstDataCol="1"/>
  <pivotFields count="3">
    <pivotField dataField="1" showAll="0"/>
    <pivotField dataField="1" showAll="0"/>
    <pivotField axis="axisRow" showAll="0">
      <items count="7">
        <item x="4"/>
        <item x="0"/>
        <item x="3"/>
        <item x="1"/>
        <item x="5"/>
        <item x="2"/>
        <item t="default"/>
      </items>
    </pivotField>
  </pivotFields>
  <rowFields count="1">
    <field x="2"/>
  </rowFields>
  <rowItems count="7">
    <i>
      <x/>
    </i>
    <i>
      <x v="1"/>
    </i>
    <i>
      <x v="2"/>
    </i>
    <i>
      <x v="3"/>
    </i>
    <i>
      <x v="4"/>
    </i>
    <i>
      <x v="5"/>
    </i>
    <i t="grand">
      <x/>
    </i>
  </rowItems>
  <colFields count="1">
    <field x="-2"/>
  </colFields>
  <colItems count="3">
    <i>
      <x/>
    </i>
    <i i="1">
      <x v="1"/>
    </i>
    <i i="2">
      <x v="2"/>
    </i>
  </colItems>
  <dataFields count="3">
    <dataField name="Sum of Num_Trans" fld="1" baseField="0" baseItem="0"/>
    <dataField name="Average of Total_Spend" fld="0" subtotal="average" baseField="0" baseItem="0"/>
    <dataField name="Count of Customers" fld="0" subtotal="count" baseField="0" baseItem="0"/>
  </dataFields>
  <formats count="6">
    <format dxfId="35">
      <pivotArea type="all" dataOnly="0" outline="0" fieldPosition="0"/>
    </format>
    <format dxfId="36">
      <pivotArea outline="0" collapsedLevelsAreSubtotals="1" fieldPosition="0"/>
    </format>
    <format dxfId="37">
      <pivotArea field="2" type="button" dataOnly="0" labelOnly="1" outline="0" axis="axisRow" fieldPosition="0"/>
    </format>
    <format dxfId="38">
      <pivotArea dataOnly="0" labelOnly="1" fieldPosition="0">
        <references count="1">
          <reference field="2" count="0"/>
        </references>
      </pivotArea>
    </format>
    <format dxfId="39">
      <pivotArea dataOnly="0" labelOnly="1" grandRow="1" outline="0" fieldPosition="0"/>
    </format>
    <format dxfId="40">
      <pivotArea dataOnly="0" labelOnly="1" outline="0" fieldPosition="0">
        <references count="1">
          <reference field="4294967294" count="3">
            <x v="0"/>
            <x v="1"/>
            <x v="2"/>
          </reference>
        </references>
      </pivotArea>
    </format>
  </formats>
  <pivotTableStyleInfo name="PivotStyleDark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6257DB-057C-E349-9849-004ABF3F9CA6}" name="PivotTable8" cacheId="34" applyNumberFormats="0" applyBorderFormats="0" applyFontFormats="0" applyPatternFormats="0" applyAlignmentFormats="0" applyWidthHeightFormats="1" dataCaption="Values" grandTotalCaption="Total Customers" updatedVersion="8" minRefreshableVersion="3" useAutoFormatting="1" itemPrintTitles="1" createdVersion="8" indent="0" multipleFieldFilters="0" chartFormat="3" rowHeaderCaption="Customer-Gender" colHeaderCaption="Membership Status">
  <location ref="D9:G14" firstHeaderRow="1" firstDataRow="2" firstDataCol="1"/>
  <pivotFields count="16">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axis="axisCol" dataField="1" showAll="0">
      <items count="3">
        <item n="Not in Loyalty Program" x="1"/>
        <item n="In Loyalty Program" x="0"/>
        <item t="default"/>
      </items>
    </pivotField>
    <pivotField showAll="0"/>
    <pivotField showAll="0"/>
    <pivotField showAll="0"/>
    <pivotField showAll="0"/>
    <pivotField showAll="0"/>
  </pivotFields>
  <rowFields count="1">
    <field x="2"/>
  </rowFields>
  <rowItems count="4">
    <i>
      <x/>
    </i>
    <i>
      <x v="1"/>
    </i>
    <i>
      <x v="2"/>
    </i>
    <i t="grand">
      <x/>
    </i>
  </rowItems>
  <colFields count="1">
    <field x="10"/>
  </colFields>
  <colItems count="3">
    <i>
      <x/>
    </i>
    <i>
      <x v="1"/>
    </i>
    <i t="grand">
      <x/>
    </i>
  </colItems>
  <dataFields count="1">
    <dataField name="Number of Customers by Loyalty Status" fld="10" subtotal="count" baseField="0" baseItem="0"/>
  </dataFields>
  <formats count="13">
    <format dxfId="85">
      <pivotArea type="all" dataOnly="0" outline="0" fieldPosition="0"/>
    </format>
    <format dxfId="86">
      <pivotArea type="origin" dataOnly="0" labelOnly="1" outline="0" fieldPosition="0"/>
    </format>
    <format dxfId="87">
      <pivotArea field="10" type="button" dataOnly="0" labelOnly="1" outline="0" axis="axisCol" fieldPosition="0"/>
    </format>
    <format dxfId="88">
      <pivotArea type="topRight" dataOnly="0" labelOnly="1" outline="0" offset="A1" fieldPosition="0"/>
    </format>
    <format dxfId="89">
      <pivotArea type="topRight" dataOnly="0" labelOnly="1" outline="0" offset="B1" fieldPosition="0"/>
    </format>
    <format dxfId="90">
      <pivotArea dataOnly="0" labelOnly="1" grandRow="1" outline="0" fieldPosition="0"/>
    </format>
    <format dxfId="91">
      <pivotArea field="10" grandRow="1" outline="0" collapsedLevelsAreSubtotals="1" axis="axisCol" fieldPosition="0">
        <references count="1">
          <reference field="10" count="1" selected="0">
            <x v="0"/>
          </reference>
        </references>
      </pivotArea>
    </format>
    <format dxfId="92">
      <pivotArea field="10" grandRow="1" outline="0" collapsedLevelsAreSubtotals="1" axis="axisCol" fieldPosition="0">
        <references count="1">
          <reference field="10" count="1" selected="0">
            <x v="1"/>
          </reference>
        </references>
      </pivotArea>
    </format>
    <format dxfId="93">
      <pivotArea grandRow="1" grandCol="1" outline="0" collapsedLevelsAreSubtotals="1" fieldPosition="0"/>
    </format>
    <format dxfId="94">
      <pivotArea dataOnly="0" labelOnly="1" fieldPosition="0">
        <references count="1">
          <reference field="2" count="1">
            <x v="0"/>
          </reference>
        </references>
      </pivotArea>
    </format>
    <format dxfId="95">
      <pivotArea collapsedLevelsAreSubtotals="1" fieldPosition="0">
        <references count="2">
          <reference field="2" count="1">
            <x v="0"/>
          </reference>
          <reference field="10" count="1" selected="0">
            <x v="0"/>
          </reference>
        </references>
      </pivotArea>
    </format>
    <format dxfId="96">
      <pivotArea collapsedLevelsAreSubtotals="1" fieldPosition="0">
        <references count="2">
          <reference field="2" count="1">
            <x v="0"/>
          </reference>
          <reference field="10" count="1" selected="0">
            <x v="1"/>
          </reference>
        </references>
      </pivotArea>
    </format>
    <format dxfId="97">
      <pivotArea field="2" grandCol="1" collapsedLevelsAreSubtotals="1" axis="axisRow" fieldPosition="0">
        <references count="1">
          <reference field="2" count="1">
            <x v="0"/>
          </reference>
        </references>
      </pivotArea>
    </format>
  </formats>
  <chartFormats count="2">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s>
  <pivotTableStyleInfo name="PivotStyleDark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039A54-E642-C84F-9DDB-E5819F629762}" name="PivotTable26" cacheId="69"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rowHeaderCaption="AGE_Groups" colHeaderCaption="Disc_Usage">
  <location ref="H28:L34" firstHeaderRow="1" firstDataRow="2" firstDataCol="1"/>
  <pivotFields count="3">
    <pivotField showAll="0"/>
    <pivotField axis="axisCol" dataField="1" showAll="0">
      <items count="4">
        <item x="0"/>
        <item x="2"/>
        <item x="1"/>
        <item t="default"/>
      </items>
    </pivotField>
    <pivotField axis="axisRow" showAll="0">
      <items count="5">
        <item x="1"/>
        <item x="2"/>
        <item x="3"/>
        <item x="0"/>
        <item t="default"/>
      </items>
    </pivotField>
  </pivotFields>
  <rowFields count="1">
    <field x="2"/>
  </rowFields>
  <rowItems count="5">
    <i>
      <x/>
    </i>
    <i>
      <x v="1"/>
    </i>
    <i>
      <x v="2"/>
    </i>
    <i>
      <x v="3"/>
    </i>
    <i t="grand">
      <x/>
    </i>
  </rowItems>
  <colFields count="1">
    <field x="1"/>
  </colFields>
  <colItems count="4">
    <i>
      <x/>
    </i>
    <i>
      <x v="1"/>
    </i>
    <i>
      <x v="2"/>
    </i>
    <i t="grand">
      <x/>
    </i>
  </colItems>
  <dataFields count="1">
    <dataField name="Age_Groups of customers" fld="1" subtotal="count"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TableStyleInfo name="PivotStyleDark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2DEB98-34D5-634A-A7FB-F1A72D8E09F9}" name="PivotTable24" cacheId="69"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Frequency of Discount Usage_x000a_">
  <location ref="H15:I19" firstHeaderRow="1" firstDataRow="1" firstDataCol="1"/>
  <pivotFields count="3">
    <pivotField showAll="0"/>
    <pivotField axis="axisRow" dataField="1" showAll="0">
      <items count="4">
        <item x="0"/>
        <item x="2"/>
        <item x="1"/>
        <item t="default"/>
      </items>
    </pivotField>
    <pivotField showAll="0"/>
  </pivotFields>
  <rowFields count="1">
    <field x="1"/>
  </rowFields>
  <rowItems count="4">
    <i>
      <x/>
    </i>
    <i>
      <x v="1"/>
    </i>
    <i>
      <x v="2"/>
    </i>
    <i t="grand">
      <x/>
    </i>
  </rowItems>
  <colItems count="1">
    <i/>
  </colItems>
  <dataFields count="1">
    <dataField name="Count of Each Discount Usage Category" fld="1" subtotal="count" baseField="0" baseItem="0"/>
  </dataFields>
  <pivotTableStyleInfo name="PivotStyleDark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70557D-A6E5-8C43-B00F-22A5688E3F55}" name="PivotTable27" cacheId="73"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rowHeaderCaption="Bins Lable">
  <location ref="D55:E62" firstHeaderRow="1" firstDataRow="1" firstDataCol="1"/>
  <pivotFields count="2">
    <pivotField dataField="1" showAll="0"/>
    <pivotField axis="axisRow" showAll="0">
      <items count="7">
        <item x="4"/>
        <item x="0"/>
        <item x="3"/>
        <item x="1"/>
        <item x="5"/>
        <item x="2"/>
        <item t="default"/>
      </items>
    </pivotField>
  </pivotFields>
  <rowFields count="1">
    <field x="1"/>
  </rowFields>
  <rowItems count="7">
    <i>
      <x/>
    </i>
    <i>
      <x v="1"/>
    </i>
    <i>
      <x v="2"/>
    </i>
    <i>
      <x v="3"/>
    </i>
    <i>
      <x v="4"/>
    </i>
    <i>
      <x v="5"/>
    </i>
    <i t="grand">
      <x/>
    </i>
  </rowItems>
  <colItems count="1">
    <i/>
  </colItems>
  <dataFields count="1">
    <dataField name="Count of Total_Spen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2BA5CB-9307-9F4A-9B18-63C9D875A739}" name="PivotTable13" cacheId="47"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rowHeaderCaption="Disk_Usage categories">
  <location ref="D57:E61" firstHeaderRow="1" firstDataRow="1" firstDataCol="1"/>
  <pivotFields count="1">
    <pivotField axis="axisRow" dataField="1" showAll="0">
      <items count="4">
        <item x="0"/>
        <item x="2"/>
        <item x="1"/>
        <item t="default"/>
      </items>
    </pivotField>
  </pivotFields>
  <rowFields count="1">
    <field x="0"/>
  </rowFields>
  <rowItems count="4">
    <i>
      <x/>
    </i>
    <i>
      <x v="1"/>
    </i>
    <i>
      <x v="2"/>
    </i>
    <i t="grand">
      <x/>
    </i>
  </rowItems>
  <colItems count="1">
    <i/>
  </colItems>
  <dataFields count="1">
    <dataField name="Count of customers using Disk"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FF6952-150B-254B-ACF7-E7E191D32D2E}" name="Table3" displayName="Table3" ref="D67:G74" totalsRowShown="0">
  <autoFilter ref="D67:G74" xr:uid="{5DFF6952-150B-254B-ACF7-E7E191D32D2E}"/>
  <tableColumns count="4">
    <tableColumn id="1" xr3:uid="{9E3E642A-C0D3-724F-889F-7DF607262465}" name="Bin-Number"/>
    <tableColumn id="2" xr3:uid="{FAC763B2-686A-8C44-B542-152A26D5BF27}" name="Bin Labels" dataDxfId="81"/>
    <tableColumn id="3" xr3:uid="{A415ADD0-60C8-AC4A-9073-AEB9375F1E99}" name="Bin-Upper Limit"/>
    <tableColumn id="4" xr3:uid="{16279B38-D9AA-AF4A-AC75-7E2BF1C0F2A3}" name="Frequency(f)" dataDxfId="80"/>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57D40AB-A21B-F94F-BDDC-B3B2DCEF0E9F}" name="Table29" displayName="Table29" ref="E6:F19" totalsRowShown="0" headerRowDxfId="83" tableBorderDxfId="84">
  <autoFilter ref="E6:F19" xr:uid="{E57D40AB-A21B-F94F-BDDC-B3B2DCEF0E9F}"/>
  <tableColumns count="2">
    <tableColumn id="1" xr3:uid="{B4DE4853-4EED-CB4C-865E-0BBBC458A66F}" name="Statistics" dataDxfId="54"/>
    <tableColumn id="2" xr3:uid="{A0B15F44-C06E-D64A-8F71-F45783507C73}" name="Value" dataDxfId="53">
      <calculatedColumnFormula>AVERAGE(A2:A401)</calculatedColumnFormula>
    </tableColumn>
  </tableColumns>
  <tableStyleInfo name="TableStyleDark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59B516F-2488-7840-9808-42D29261701A}" name="Table30" displayName="Table30" ref="E61:F64" totalsRowShown="0" tableBorderDxfId="82">
  <autoFilter ref="E61:F64" xr:uid="{A59B516F-2488-7840-9808-42D29261701A}"/>
  <tableColumns count="2">
    <tableColumn id="1" xr3:uid="{883ABA8E-2027-DA4A-BB03-DCAE5B60A460}" name="Component"/>
    <tableColumn id="2" xr3:uid="{03C3E706-FFEA-C748-892F-233C37AEC15A}" name="Value"/>
  </tableColumns>
  <tableStyleInfo name="TableStyleMedium2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25F7889E-5DB4-BC44-8BB6-9F20BBE49810}" name="Table39" displayName="Table39" ref="E23:F26" totalsRowShown="0">
  <autoFilter ref="E23:F26" xr:uid="{25F7889E-5DB4-BC44-8BB6-9F20BBE49810}"/>
  <tableColumns count="2">
    <tableColumn id="1" xr3:uid="{B8D44739-1CCD-4F4F-AA74-2FA8A7B7F97F}" name="statistics "/>
    <tableColumn id="2" xr3:uid="{6CB564AE-41B9-3B49-95B9-2AF6B6E5EF56}" name="value" dataDxfId="52"/>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E5F53CD-CD7C-F344-B57C-5222A7F9FE4E}" name="Table5" displayName="Table5" ref="F5:H9" totalsRowShown="0" headerRowDxfId="76" dataDxfId="75">
  <autoFilter ref="F5:H9" xr:uid="{1E5F53CD-CD7C-F344-B57C-5222A7F9FE4E}"/>
  <tableColumns count="3">
    <tableColumn id="1" xr3:uid="{DC3C70C4-C3B1-C648-9EB2-509806A97F98}" name="Online Purchase Frequency" dataDxfId="79"/>
    <tableColumn id="2" xr3:uid="{9B028685-2D63-D648-B10C-1811FCF825AE}" name="Customer Count" dataDxfId="78">
      <calculatedColumnFormula>COUNTIF('Customer Data Set'!L:L,'Q1(b)'!F6)</calculatedColumnFormula>
    </tableColumn>
    <tableColumn id="3" xr3:uid="{73DE2E90-3185-294A-ADD3-79924148BBCE}" name="Percentage of Total" dataDxfId="77">
      <calculatedColumnFormula>G6/COUNTA('Customer Data Set'!L:L)</calculatedColumnFormula>
    </tableColumn>
  </tableColumns>
  <tableStyleInfo name="TableStyleDark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924122F-B18F-EE4A-9DEC-D3EDB84AEB54}" name="Table6" displayName="Table6" ref="F13:G18" totalsRowShown="0" headerRowDxfId="51" dataDxfId="50">
  <autoFilter ref="F13:G18" xr:uid="{4924122F-B18F-EE4A-9DEC-D3EDB84AEB54}"/>
  <tableColumns count="2">
    <tableColumn id="1" xr3:uid="{28F04E61-4BCE-9447-9938-D2445CFC2E5C}" name="Statistical Summary" dataDxfId="23"/>
    <tableColumn id="2" xr3:uid="{E1664986-6430-3545-AF40-EA1660E8C89A}" name="Value" dataDxfId="22"/>
  </tableColumns>
  <tableStyleInfo name="TableStyleDark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4497172-4F52-CA48-94FD-6EB041F24595}" name="Table7" displayName="Table7" ref="G38:H40" totalsRowShown="0" headerRowDxfId="47" dataDxfId="46">
  <autoFilter ref="G38:H40" xr:uid="{74497172-4F52-CA48-94FD-6EB041F24595}"/>
  <tableColumns count="2">
    <tableColumn id="1" xr3:uid="{7B672872-C670-4147-B2D8-238C98CCA9E1}" name="Measured" dataDxfId="49"/>
    <tableColumn id="2" xr3:uid="{213BB012-F98D-0A46-9E26-707F3DB817D0}" name="Result" dataDxfId="48">
      <calculatedColumnFormula>_xlfn.COVARIANCE.S('Customer Data Set'!I:I,'Customer Data Set'!H:H)</calculatedColumnFormula>
    </tableColumn>
  </tableColumns>
  <tableStyleInfo name="TableStyleDark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9D40979-53B8-AB40-8BB7-89675C9D733A}" name="Table9" displayName="Table9" ref="G6:I19" totalsRowShown="0" headerRowDxfId="42" dataDxfId="41">
  <autoFilter ref="G6:I19" xr:uid="{39D40979-53B8-AB40-8BB7-89675C9D733A}"/>
  <tableColumns count="3">
    <tableColumn id="1" xr3:uid="{4FF8CCD9-AA4C-6D4E-A8A8-FDE095B3BA13}" name="Metric" dataDxfId="45"/>
    <tableColumn id="2" xr3:uid="{45694C36-13F0-5D45-B069-8187C92C75BC}" name="Total_Spend" dataDxfId="44"/>
    <tableColumn id="3" xr3:uid="{451D406C-AFD0-D44E-97BC-2D0437FF7D86}" name="Num_Trans" dataDxfId="43"/>
  </tableColumns>
  <tableStyleInfo name="TableStyleDark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C590D04-657F-934B-B97D-7012B5D52165}" name="Table11" displayName="Table11" ref="D21:G25" totalsRowShown="0" headerRowDxfId="102" dataDxfId="108" headerRowBorderDxfId="110" tableBorderDxfId="111" totalsRowBorderDxfId="109">
  <autoFilter ref="D21:G25" xr:uid="{8C590D04-657F-934B-B97D-7012B5D52165}"/>
  <tableColumns count="4">
    <tableColumn id="1" xr3:uid="{AE551AD7-21F4-2546-BE25-7C37CC95C53E}" name="Customer-Gender" dataDxfId="101"/>
    <tableColumn id="2" xr3:uid="{E82CFEAB-BF06-E741-B464-7A1F419D0E05}" name="Not in Loyalty Program" dataDxfId="100" dataCellStyle="Per cent"/>
    <tableColumn id="3" xr3:uid="{95D89595-6F25-9940-AA86-71ECB18CF3F0}" name="In Loyalty Program" dataDxfId="99" dataCellStyle="Per cent"/>
    <tableColumn id="4" xr3:uid="{BDF2A0F1-936A-3944-AAF9-2A310CAA0753}" name="Total Customers" dataDxfId="98" dataCellStyle="Per cent"/>
  </tableColumns>
  <tableStyleInfo name="TableStyleDark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38D531E-2536-2D48-8B62-7ECA7CD3A1B5}" name="Table12" displayName="Table12" ref="D29:G32" totalsRowShown="0" headerRowDxfId="103">
  <autoFilter ref="D29:G32" xr:uid="{E38D531E-2536-2D48-8B62-7ECA7CD3A1B5}"/>
  <tableColumns count="4">
    <tableColumn id="1" xr3:uid="{063D6F9F-62D6-7047-8026-03A0EB5A4D48}" name="Customer Gender" dataDxfId="107"/>
    <tableColumn id="2" xr3:uid="{28046A23-6CD3-0647-BBD6-77BDFE2464E8}" name="Chances of NOT IN Loyalty Program (given Gender)" dataDxfId="106"/>
    <tableColumn id="3" xr3:uid="{173DA904-31A8-3B49-BF1F-7F3AEB1AA5DE}" name="Chances of IN Loyalty Program (given Gender)" dataDxfId="105"/>
    <tableColumn id="4" xr3:uid="{ED1B52AB-017F-F045-9F4E-4E0A15D7964B}" name="Total Percentage" dataDxfId="104" dataCellStyle="Per cent">
      <calculatedColumnFormula>E30+F30</calculatedColumnFormula>
    </tableColumn>
  </tableColumns>
  <tableStyleInfo name="TableStyleDark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EDB2570-BF02-BB41-9086-F1C3EA512CEE}" name="Table33" displayName="Table33" ref="H22:J23" totalsRowShown="0">
  <autoFilter ref="H22:J23" xr:uid="{3EDB2570-BF02-BB41-9086-F1C3EA512CEE}"/>
  <tableColumns count="3">
    <tableColumn id="1" xr3:uid="{8CBE35E9-5791-ED4B-9003-8BE91CC104AC}" name="Parameter"/>
    <tableColumn id="2" xr3:uid="{C859AD6C-9FBB-4A42-BB0C-08937D2BC947}" name="Age"/>
    <tableColumn id="3" xr3:uid="{CB0DF7FC-49B0-CE4F-A6BA-E915316A36D6}" name="Disc_Usage"/>
  </tableColumns>
  <tableStyleInfo name="TableStyleDark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F16C2B5-9E6E-B847-91E6-3CC5350A4C1D}" name="Table34" displayName="Table34" ref="H37:L42" totalsRowShown="0" headerRowDxfId="70">
  <autoFilter ref="H37:L42" xr:uid="{8F16C2B5-9E6E-B847-91E6-3CC5350A4C1D}"/>
  <tableColumns count="5">
    <tableColumn id="1" xr3:uid="{57CC0B65-0C16-8144-9253-6A647F5B7983}" name="Age Group"/>
    <tableColumn id="2" xr3:uid="{35F60664-B5F5-D545-B864-BBF3C5D6F502}" name="Never (%)" dataDxfId="74"/>
    <tableColumn id="3" xr3:uid="{6C13BD64-7CDC-D943-AB4F-A315F9067157}" name="Occasionally(%)" dataDxfId="73"/>
    <tableColumn id="4" xr3:uid="{C6E96CC0-E4F7-B34C-A759-8332A0CA2CA2}" name="Frequently (%)" dataDxfId="72"/>
    <tableColumn id="5" xr3:uid="{D4ABF118-FB11-F249-84C7-2ED6CE76005B}" name="Total (%)" dataDxfId="71"/>
  </tableColumns>
  <tableStyleInfo name="TableStyleDark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C195C72-185D-8646-A83B-02276EF5ABC4}" name="Table35" displayName="Table35" ref="H55:L59" totalsRowShown="0" headerRowDxfId="65">
  <autoFilter ref="H55:L59" xr:uid="{DC195C72-185D-8646-A83B-02276EF5ABC4}"/>
  <tableColumns count="5">
    <tableColumn id="1" xr3:uid="{4A4FA7D5-7C6D-A44C-8B0A-6CE73B86A724}" name="Age Group"/>
    <tableColumn id="2" xr3:uid="{21339E7B-4835-EF46-97AF-A9A877B52156}" name="Never (%)" dataDxfId="69">
      <calculatedColumnFormula>I38/L38</calculatedColumnFormula>
    </tableColumn>
    <tableColumn id="3" xr3:uid="{128A0656-A101-3F42-9E3F-7C66DF7CEB77}" name="Occasionally(%)" dataDxfId="68">
      <calculatedColumnFormula>J38/L38</calculatedColumnFormula>
    </tableColumn>
    <tableColumn id="4" xr3:uid="{E5FCD384-B31A-4A44-9D7A-B5108C770FAC}" name="Frequently (%)" dataDxfId="67">
      <calculatedColumnFormula>K38/L38</calculatedColumnFormula>
    </tableColumn>
    <tableColumn id="5" xr3:uid="{4FB54602-E9E1-EA45-8639-A5DB8BF1F560}" name="Total" dataDxfId="66">
      <calculatedColumnFormula>SUM(I56:K56)</calculatedColumnFormula>
    </tableColumn>
  </tableColumns>
  <tableStyleInfo name="TableStyleDark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DF55B77-3CC2-0B4A-8043-EF44D8D023D4}" name="Table36" displayName="Table36" ref="H46:L51" totalsRowShown="0" headerRowDxfId="60">
  <autoFilter ref="H46:L51" xr:uid="{1DF55B77-3CC2-0B4A-8043-EF44D8D023D4}"/>
  <tableColumns count="5">
    <tableColumn id="1" xr3:uid="{6D749F19-2CAA-4747-BCCD-63EE12C30735}" name="Age Group"/>
    <tableColumn id="2" xr3:uid="{93147DB8-7966-E54B-8637-8E4CF12F1682}" name="Never (%)" dataDxfId="64"/>
    <tableColumn id="3" xr3:uid="{7D207CCE-33F8-824F-83DC-A66EDD8C9CBC}" name="Occasionally (%)" dataDxfId="63"/>
    <tableColumn id="4" xr3:uid="{9BE82DE3-191A-0649-BDBD-97B3DD289763}" name="Frequently (%)" dataDxfId="62"/>
    <tableColumn id="5" xr3:uid="{E419DCCD-A492-6246-9131-38DEA6BC957B}" name="Row Total (Marginal Probability)" dataDxfId="61"/>
  </tableColumns>
  <tableStyleInfo name="TableStyleDark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089C2B5-AF1D-4645-A9E2-3EB9E9CE6432}" name="Table40" displayName="Table40" ref="H7:I10" totalsRowShown="0" headerRowDxfId="33">
  <autoFilter ref="H7:I10" xr:uid="{5089C2B5-AF1D-4645-A9E2-3EB9E9CE6432}"/>
  <tableColumns count="2">
    <tableColumn id="1" xr3:uid="{BBAC4827-35E1-2845-B2E3-22529DFF6345}" name="Statistic" dataDxfId="34"/>
    <tableColumn id="2" xr3:uid="{08DA75BE-7FD2-354C-BE38-D1F3DCBB0631}" name="Value"/>
  </tableColumns>
  <tableStyleInfo name="TableStyleDark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75D5D66-3F3B-AF45-892E-B22945E56DFC}" name="Table41" displayName="Table41" ref="C8:D21" totalsRowShown="0" headerRowDxfId="29" dataDxfId="28" tableBorderDxfId="32">
  <autoFilter ref="C8:D21" xr:uid="{175D5D66-3F3B-AF45-892E-B22945E56DFC}"/>
  <tableColumns count="2">
    <tableColumn id="1" xr3:uid="{56840733-D305-F244-AAD9-5F3B6D227D9C}" name="Measure" dataDxfId="31"/>
    <tableColumn id="2" xr3:uid="{ACE3AE69-EC03-324C-B3EE-C2A752D40878}" name="Value" dataDxfId="30"/>
  </tableColumns>
  <tableStyleInfo name="TableStyleMedium1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9DB6CF1-7064-A94E-A728-B38985D73C31}" name="Table42" displayName="Table42" ref="C25:D28" totalsRowShown="0" headerRowDxfId="25" dataDxfId="24">
  <autoFilter ref="C25:D28" xr:uid="{09DB6CF1-7064-A94E-A728-B38985D73C31}"/>
  <tableColumns count="2">
    <tableColumn id="1" xr3:uid="{52F9C6C6-CC91-D344-A96E-5BE5F1A3B233}" name="Measure" dataDxfId="27"/>
    <tableColumn id="2" xr3:uid="{F79E0FB9-6B5B-A44B-B72C-E948ADC834E3}" name="Value" dataDxfId="26"/>
  </tableColumns>
  <tableStyleInfo name="TableStyleMedium1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FE606CD-B519-294C-9E25-A543C57DCD72}" name="Table538" displayName="Table538" ref="C7:E12" totalsRowShown="0" headerRowDxfId="59" dataDxfId="58">
  <autoFilter ref="C7:E12" xr:uid="{1FE606CD-B519-294C-9E25-A543C57DCD72}"/>
  <tableColumns count="3">
    <tableColumn id="1" xr3:uid="{D84DCE36-7480-C94F-BCAC-D69AA418218C}" name="Online Purchase Frequency" dataDxfId="57"/>
    <tableColumn id="2" xr3:uid="{751C33B2-4783-6C4F-985C-6B483EA99C17}" name="Customer Count" dataDxfId="56"/>
    <tableColumn id="3" xr3:uid="{346FC7BD-F149-8B4A-8D14-C612D1C8A1E8}" name="Percentage of Total" dataDxfId="55"/>
  </tableColumns>
  <tableStyleInfo name="TableStyleMedium16"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18F0C13-962C-274D-A666-E39CE901597C}" name="Table43" displayName="Table43" ref="D16:E20" totalsRowShown="0" headerRowDxfId="19">
  <autoFilter ref="D16:E20" xr:uid="{518F0C13-962C-274D-A666-E39CE901597C}"/>
  <tableColumns count="2">
    <tableColumn id="1" xr3:uid="{CD506A98-E279-F44C-A989-A80B1AE13295}" name="Statistical Summary" dataDxfId="21"/>
    <tableColumn id="2" xr3:uid="{307207F6-078F-5043-9C3C-3CA6DD39F715}" name="Value" dataDxfId="20"/>
  </tableColumns>
  <tableStyleInfo name="TableStyleMedium16"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A53C1C5-8AC2-3F4E-AB5F-5884434879B4}" name="Table44" displayName="Table44" ref="C25:E27" totalsRowShown="0">
  <autoFilter ref="C25:E27" xr:uid="{8A53C1C5-8AC2-3F4E-AB5F-5884434879B4}"/>
  <tableColumns count="3">
    <tableColumn id="1" xr3:uid="{E8E6B890-7857-AD4A-A76A-36EF5390558B}" name="Customer Shopping Habits"/>
    <tableColumn id="2" xr3:uid="{D1EFEA1C-97A5-1A49-BE44-BEF27D0B94D5}" name="Count of Customers"/>
    <tableColumn id="3" xr3:uid="{B7EE0F57-214E-8544-9EE4-9AE3965DC9AF}" name="Proportion of Customers">
      <calculatedColumnFormula>110/400</calculatedColumnFormula>
    </tableColumn>
  </tableColumns>
  <tableStyleInfo name="TableStyleMedium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B189786-8835-5149-BE50-A140F5CEF103}" name="Table45" displayName="Table45" ref="F57:G61" totalsRowShown="0">
  <autoFilter ref="F57:G61" xr:uid="{3B189786-8835-5149-BE50-A140F5CEF103}"/>
  <tableColumns count="2">
    <tableColumn id="1" xr3:uid="{41D2DA48-1A1E-3842-A945-D48713289C98}" name="Proportion Of customer " dataDxfId="18"/>
    <tableColumn id="3" xr3:uid="{E9B0EFDA-9629-2A48-8DB5-750C069EE925}" name="30% of customers Frequently use discounts" dataDxfId="17"/>
  </tableColumns>
  <tableStyleInfo name="PivotStyleMedium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2B43431-2229-BB4C-B0C9-8B909AA66284}">
  <we:reference id="wa104379190" version="2.0.0.0" store="en-GB" storeType="OMEX"/>
  <we:alternateReferences>
    <we:reference id="wa104379190" version="2.0.0.0" store="wa104379190" storeType="OMEX"/>
  </we:alternateReferences>
  <we:properties/>
  <we:bindings>
    <we:binding id="RangeSelect" type="matrix" appref="{B6FF7C80-CE63-EB41-BB45-FA97F7BA3682}"/>
    <we:binding id="Input" type="matrix" appref="{A133FAA5-C96B-6D4B-B117-AA53CD4BFD71}"/>
    <we:binding id="Output" type="matrix" appref="{AD8D4EA8-1A7D-594E-8729-8F03112052B5}"/>
  </we:bindings>
  <we:snapshot xmlns:r="http://schemas.openxmlformats.org/officeDocument/2006/relationships"/>
</we:webextension>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3.xml"/><Relationship Id="rId1" Type="http://schemas.openxmlformats.org/officeDocument/2006/relationships/pivotTable" Target="../pivotTables/pivotTable1.xml"/><Relationship Id="rId4" Type="http://schemas.openxmlformats.org/officeDocument/2006/relationships/table" Target="../tables/table8.xml"/></Relationships>
</file>

<file path=xl/worksheets/_rels/sheet6.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4.xml"/><Relationship Id="rId1" Type="http://schemas.openxmlformats.org/officeDocument/2006/relationships/pivotTable" Target="../pivotTables/pivotTable2.xml"/><Relationship Id="rId4"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5.xml"/><Relationship Id="rId3" Type="http://schemas.openxmlformats.org/officeDocument/2006/relationships/drawing" Target="../drawings/drawing5.xml"/><Relationship Id="rId7" Type="http://schemas.openxmlformats.org/officeDocument/2006/relationships/table" Target="../tables/table14.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table" Target="../tables/table13.xml"/><Relationship Id="rId5" Type="http://schemas.openxmlformats.org/officeDocument/2006/relationships/table" Target="../tables/table12.xml"/><Relationship Id="rId4"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7.xml"/><Relationship Id="rId4" Type="http://schemas.openxmlformats.org/officeDocument/2006/relationships/table" Target="../tables/table2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zoomScale="107" workbookViewId="0">
      <selection sqref="A1:B17"/>
    </sheetView>
  </sheetViews>
  <sheetFormatPr baseColWidth="10" defaultColWidth="8.83203125" defaultRowHeight="15"/>
  <cols>
    <col min="1" max="1" width="12.83203125" bestFit="1" customWidth="1"/>
    <col min="2" max="2" width="114" bestFit="1" customWidth="1"/>
  </cols>
  <sheetData>
    <row r="1" spans="1:2">
      <c r="A1" s="1" t="s">
        <v>446</v>
      </c>
      <c r="B1" s="1" t="s">
        <v>447</v>
      </c>
    </row>
    <row r="2" spans="1:2">
      <c r="A2" t="s">
        <v>0</v>
      </c>
      <c r="B2" t="s">
        <v>448</v>
      </c>
    </row>
    <row r="3" spans="1:2">
      <c r="A3" t="s">
        <v>1</v>
      </c>
      <c r="B3" t="s">
        <v>449</v>
      </c>
    </row>
    <row r="4" spans="1:2">
      <c r="A4" t="s">
        <v>2</v>
      </c>
      <c r="B4" t="s">
        <v>450</v>
      </c>
    </row>
    <row r="5" spans="1:2">
      <c r="A5" t="s">
        <v>3</v>
      </c>
      <c r="B5" t="s">
        <v>451</v>
      </c>
    </row>
    <row r="6" spans="1:2">
      <c r="A6" t="s">
        <v>4</v>
      </c>
      <c r="B6" t="s">
        <v>452</v>
      </c>
    </row>
    <row r="7" spans="1:2">
      <c r="A7" t="s">
        <v>5</v>
      </c>
      <c r="B7" t="s">
        <v>453</v>
      </c>
    </row>
    <row r="8" spans="1:2">
      <c r="A8" t="s">
        <v>535</v>
      </c>
      <c r="B8" t="s">
        <v>454</v>
      </c>
    </row>
    <row r="9" spans="1:2">
      <c r="A9" t="s">
        <v>464</v>
      </c>
      <c r="B9" t="s">
        <v>455</v>
      </c>
    </row>
    <row r="10" spans="1:2">
      <c r="A10" t="s">
        <v>6</v>
      </c>
      <c r="B10" t="s">
        <v>456</v>
      </c>
    </row>
    <row r="11" spans="1:2">
      <c r="A11" t="s">
        <v>536</v>
      </c>
      <c r="B11" t="s">
        <v>457</v>
      </c>
    </row>
    <row r="12" spans="1:2">
      <c r="A12" t="s">
        <v>7</v>
      </c>
      <c r="B12" t="s">
        <v>458</v>
      </c>
    </row>
    <row r="13" spans="1:2">
      <c r="A13" t="s">
        <v>8</v>
      </c>
      <c r="B13" t="s">
        <v>459</v>
      </c>
    </row>
    <row r="14" spans="1:2">
      <c r="A14" t="s">
        <v>9</v>
      </c>
      <c r="B14" t="s">
        <v>460</v>
      </c>
    </row>
    <row r="15" spans="1:2">
      <c r="A15" t="s">
        <v>10</v>
      </c>
      <c r="B15" t="s">
        <v>461</v>
      </c>
    </row>
    <row r="16" spans="1:2">
      <c r="A16" t="s">
        <v>11</v>
      </c>
      <c r="B16" t="s">
        <v>462</v>
      </c>
    </row>
    <row r="17" spans="1:2">
      <c r="A17" t="s">
        <v>12</v>
      </c>
      <c r="B17" t="s">
        <v>463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1"/>
  <sheetViews>
    <sheetView topLeftCell="G1" zoomScale="171" workbookViewId="0">
      <selection activeCell="L1" sqref="L1:L1048576"/>
    </sheetView>
  </sheetViews>
  <sheetFormatPr baseColWidth="10" defaultColWidth="8.83203125" defaultRowHeight="15"/>
  <cols>
    <col min="1" max="1" width="17.6640625" customWidth="1"/>
    <col min="2" max="2" width="12.33203125" customWidth="1"/>
    <col min="3" max="3" width="11.5" customWidth="1"/>
    <col min="4" max="4" width="9.83203125" customWidth="1"/>
    <col min="5" max="5" width="16.1640625" customWidth="1"/>
    <col min="6" max="6" width="14" customWidth="1"/>
    <col min="7" max="7" width="14.83203125" customWidth="1"/>
    <col min="8" max="8" width="12.5" customWidth="1"/>
    <col min="9" max="9" width="19.1640625" customWidth="1"/>
    <col min="10" max="10" width="14.6640625" customWidth="1"/>
    <col min="11" max="11" width="12.33203125" customWidth="1"/>
    <col min="12" max="12" width="13.6640625" customWidth="1"/>
    <col min="13" max="13" width="13.5" bestFit="1" customWidth="1"/>
    <col min="14" max="14" width="13" customWidth="1"/>
    <col min="15" max="15" width="15.83203125" customWidth="1"/>
    <col min="16" max="16" width="13" customWidth="1"/>
  </cols>
  <sheetData>
    <row r="1" spans="1:16">
      <c r="A1" s="2" t="s">
        <v>0</v>
      </c>
      <c r="B1" s="2" t="s">
        <v>1</v>
      </c>
      <c r="C1" s="2" t="s">
        <v>2</v>
      </c>
      <c r="D1" s="2" t="s">
        <v>3</v>
      </c>
      <c r="E1" s="2" t="s">
        <v>4</v>
      </c>
      <c r="F1" s="2" t="s">
        <v>5</v>
      </c>
      <c r="G1" s="2" t="s">
        <v>535</v>
      </c>
      <c r="H1" s="2" t="s">
        <v>464</v>
      </c>
      <c r="I1" s="2" t="s">
        <v>6</v>
      </c>
      <c r="J1" s="2" t="s">
        <v>536</v>
      </c>
      <c r="K1" s="2" t="s">
        <v>7</v>
      </c>
      <c r="L1" s="2" t="s">
        <v>8</v>
      </c>
      <c r="M1" s="2" t="s">
        <v>9</v>
      </c>
      <c r="N1" s="2" t="s">
        <v>10</v>
      </c>
      <c r="O1" s="2" t="s">
        <v>11</v>
      </c>
      <c r="P1" s="2" t="s">
        <v>12</v>
      </c>
    </row>
    <row r="2" spans="1:16">
      <c r="A2" t="s">
        <v>13</v>
      </c>
      <c r="B2">
        <v>67</v>
      </c>
      <c r="C2" t="s">
        <v>413</v>
      </c>
      <c r="D2" t="s">
        <v>416</v>
      </c>
      <c r="E2" t="s">
        <v>424</v>
      </c>
      <c r="F2" t="s">
        <v>428</v>
      </c>
      <c r="G2">
        <v>33.695999999999998</v>
      </c>
      <c r="H2">
        <v>17.388000000000002</v>
      </c>
      <c r="I2">
        <v>19</v>
      </c>
      <c r="J2">
        <v>146.12</v>
      </c>
      <c r="K2" t="s">
        <v>432</v>
      </c>
      <c r="L2" t="s">
        <v>434</v>
      </c>
      <c r="M2" t="s">
        <v>438</v>
      </c>
      <c r="N2" t="s">
        <v>443</v>
      </c>
      <c r="O2">
        <v>2</v>
      </c>
      <c r="P2">
        <v>0.56999999999999995</v>
      </c>
    </row>
    <row r="3" spans="1:16">
      <c r="A3" t="s">
        <v>14</v>
      </c>
      <c r="B3">
        <v>20</v>
      </c>
      <c r="C3" t="s">
        <v>413</v>
      </c>
      <c r="D3" t="s">
        <v>417</v>
      </c>
      <c r="E3" t="s">
        <v>425</v>
      </c>
      <c r="F3" t="s">
        <v>429</v>
      </c>
      <c r="G3">
        <v>230.4</v>
      </c>
      <c r="H3">
        <v>46.656999999999996</v>
      </c>
      <c r="I3">
        <v>11</v>
      </c>
      <c r="J3">
        <v>690.6</v>
      </c>
      <c r="K3" t="s">
        <v>432</v>
      </c>
      <c r="L3" t="s">
        <v>434</v>
      </c>
      <c r="M3" t="s">
        <v>438</v>
      </c>
      <c r="N3" t="s">
        <v>444</v>
      </c>
      <c r="O3">
        <v>8</v>
      </c>
      <c r="P3">
        <v>0.84</v>
      </c>
    </row>
    <row r="4" spans="1:16">
      <c r="A4" t="s">
        <v>15</v>
      </c>
      <c r="B4">
        <v>43</v>
      </c>
      <c r="C4" t="s">
        <v>413</v>
      </c>
      <c r="D4" t="s">
        <v>418</v>
      </c>
      <c r="E4" t="s">
        <v>425</v>
      </c>
      <c r="F4" t="s">
        <v>429</v>
      </c>
      <c r="G4">
        <v>91.149000000000001</v>
      </c>
      <c r="H4">
        <v>68.616</v>
      </c>
      <c r="I4">
        <v>74</v>
      </c>
      <c r="J4">
        <v>927.24</v>
      </c>
      <c r="K4" t="s">
        <v>432</v>
      </c>
      <c r="L4" t="s">
        <v>435</v>
      </c>
      <c r="M4" t="s">
        <v>438</v>
      </c>
      <c r="N4" t="s">
        <v>444</v>
      </c>
      <c r="O4">
        <v>10</v>
      </c>
      <c r="P4">
        <v>12.19</v>
      </c>
    </row>
    <row r="5" spans="1:16">
      <c r="A5" t="s">
        <v>16</v>
      </c>
      <c r="B5">
        <v>51</v>
      </c>
      <c r="C5" t="s">
        <v>414</v>
      </c>
      <c r="D5" t="s">
        <v>419</v>
      </c>
      <c r="E5" t="s">
        <v>424</v>
      </c>
      <c r="F5" t="s">
        <v>428</v>
      </c>
      <c r="G5">
        <v>52.317999999999998</v>
      </c>
      <c r="H5">
        <v>28.391999999999999</v>
      </c>
      <c r="I5">
        <v>97</v>
      </c>
      <c r="J5">
        <v>808.16</v>
      </c>
      <c r="K5" t="s">
        <v>432</v>
      </c>
      <c r="L5" t="s">
        <v>436</v>
      </c>
      <c r="M5" t="s">
        <v>439</v>
      </c>
      <c r="N5" t="s">
        <v>444</v>
      </c>
      <c r="O5">
        <v>10</v>
      </c>
      <c r="P5">
        <v>31.92</v>
      </c>
    </row>
    <row r="6" spans="1:16">
      <c r="A6" t="s">
        <v>17</v>
      </c>
      <c r="B6">
        <v>57</v>
      </c>
      <c r="C6" t="s">
        <v>415</v>
      </c>
      <c r="D6" t="s">
        <v>420</v>
      </c>
      <c r="E6" t="s">
        <v>425</v>
      </c>
      <c r="F6" t="s">
        <v>430</v>
      </c>
      <c r="G6">
        <v>35.487000000000002</v>
      </c>
      <c r="H6">
        <v>43.87</v>
      </c>
      <c r="I6">
        <v>10</v>
      </c>
      <c r="J6">
        <v>6387</v>
      </c>
      <c r="K6" t="s">
        <v>433</v>
      </c>
      <c r="L6" t="s">
        <v>435</v>
      </c>
      <c r="M6" t="s">
        <v>440</v>
      </c>
      <c r="N6" t="s">
        <v>444</v>
      </c>
      <c r="O6">
        <v>1</v>
      </c>
      <c r="P6">
        <v>44.82</v>
      </c>
    </row>
    <row r="7" spans="1:16">
      <c r="A7" t="s">
        <v>18</v>
      </c>
      <c r="B7">
        <v>40</v>
      </c>
      <c r="C7" t="s">
        <v>413</v>
      </c>
      <c r="D7" t="s">
        <v>421</v>
      </c>
      <c r="E7" t="s">
        <v>425</v>
      </c>
      <c r="F7" t="s">
        <v>431</v>
      </c>
      <c r="G7">
        <v>187.886</v>
      </c>
      <c r="H7">
        <v>65.685000000000002</v>
      </c>
      <c r="I7">
        <v>104</v>
      </c>
      <c r="J7">
        <v>631.59</v>
      </c>
      <c r="K7" t="s">
        <v>432</v>
      </c>
      <c r="L7" t="s">
        <v>436</v>
      </c>
      <c r="M7" t="s">
        <v>439</v>
      </c>
      <c r="N7" t="s">
        <v>444</v>
      </c>
      <c r="O7">
        <v>10</v>
      </c>
      <c r="P7">
        <v>13.65</v>
      </c>
    </row>
    <row r="8" spans="1:16">
      <c r="A8" t="s">
        <v>19</v>
      </c>
      <c r="B8">
        <v>74</v>
      </c>
      <c r="C8" t="s">
        <v>413</v>
      </c>
      <c r="D8" t="s">
        <v>416</v>
      </c>
      <c r="E8" t="s">
        <v>424</v>
      </c>
      <c r="F8" t="s">
        <v>429</v>
      </c>
      <c r="G8">
        <v>62.287999999999997</v>
      </c>
      <c r="H8">
        <v>25.864999999999998</v>
      </c>
      <c r="I8">
        <v>97</v>
      </c>
      <c r="J8">
        <v>266.64999999999998</v>
      </c>
      <c r="K8" t="s">
        <v>433</v>
      </c>
      <c r="L8" t="s">
        <v>434</v>
      </c>
      <c r="M8" t="s">
        <v>438</v>
      </c>
      <c r="N8" t="s">
        <v>444</v>
      </c>
      <c r="O8">
        <v>3</v>
      </c>
      <c r="P8">
        <v>29.2</v>
      </c>
    </row>
    <row r="9" spans="1:16">
      <c r="A9" t="s">
        <v>20</v>
      </c>
      <c r="B9">
        <v>41</v>
      </c>
      <c r="C9" t="s">
        <v>414</v>
      </c>
      <c r="D9" t="s">
        <v>422</v>
      </c>
      <c r="E9" t="s">
        <v>424</v>
      </c>
      <c r="F9" t="s">
        <v>429</v>
      </c>
      <c r="G9">
        <v>42.994</v>
      </c>
      <c r="H9">
        <v>40.753999999999998</v>
      </c>
      <c r="I9">
        <v>38</v>
      </c>
      <c r="J9">
        <v>1072.47</v>
      </c>
      <c r="K9" t="s">
        <v>433</v>
      </c>
      <c r="L9" t="s">
        <v>436</v>
      </c>
      <c r="M9" t="s">
        <v>441</v>
      </c>
      <c r="N9" t="s">
        <v>444</v>
      </c>
      <c r="O9">
        <v>5</v>
      </c>
      <c r="P9">
        <v>37.35</v>
      </c>
    </row>
    <row r="10" spans="1:16">
      <c r="A10" t="s">
        <v>21</v>
      </c>
      <c r="B10">
        <v>69</v>
      </c>
      <c r="C10" t="s">
        <v>414</v>
      </c>
      <c r="D10" t="s">
        <v>422</v>
      </c>
      <c r="E10" t="s">
        <v>424</v>
      </c>
      <c r="F10" t="s">
        <v>431</v>
      </c>
      <c r="G10">
        <v>213.85300000000001</v>
      </c>
      <c r="H10">
        <v>16.122</v>
      </c>
      <c r="I10">
        <v>58</v>
      </c>
      <c r="J10">
        <v>277.97000000000003</v>
      </c>
      <c r="K10" t="s">
        <v>433</v>
      </c>
      <c r="L10" t="s">
        <v>436</v>
      </c>
      <c r="M10" t="s">
        <v>440</v>
      </c>
      <c r="N10" t="s">
        <v>444</v>
      </c>
      <c r="O10">
        <v>1</v>
      </c>
      <c r="P10">
        <v>49.22</v>
      </c>
    </row>
    <row r="11" spans="1:16">
      <c r="A11" t="s">
        <v>22</v>
      </c>
      <c r="B11">
        <v>53</v>
      </c>
      <c r="C11" t="s">
        <v>414</v>
      </c>
      <c r="D11" t="s">
        <v>422</v>
      </c>
      <c r="E11" t="s">
        <v>425</v>
      </c>
      <c r="F11" t="s">
        <v>429</v>
      </c>
      <c r="G11">
        <v>114.10899999999999</v>
      </c>
      <c r="H11">
        <v>43.776000000000003</v>
      </c>
      <c r="I11">
        <v>88</v>
      </c>
      <c r="J11">
        <v>497.45</v>
      </c>
      <c r="K11" t="s">
        <v>432</v>
      </c>
      <c r="L11" t="s">
        <v>435</v>
      </c>
      <c r="M11" t="s">
        <v>442</v>
      </c>
      <c r="N11" t="s">
        <v>444</v>
      </c>
      <c r="O11">
        <v>9</v>
      </c>
      <c r="P11">
        <v>4.3099999999999996</v>
      </c>
    </row>
    <row r="12" spans="1:16">
      <c r="A12" t="s">
        <v>23</v>
      </c>
      <c r="B12">
        <v>51</v>
      </c>
      <c r="C12" t="s">
        <v>414</v>
      </c>
      <c r="D12" t="s">
        <v>419</v>
      </c>
      <c r="E12" t="s">
        <v>426</v>
      </c>
      <c r="F12" t="s">
        <v>428</v>
      </c>
      <c r="G12">
        <v>46.691000000000003</v>
      </c>
      <c r="H12">
        <v>63.607999999999997</v>
      </c>
      <c r="I12">
        <v>36</v>
      </c>
      <c r="J12">
        <v>1766.89</v>
      </c>
      <c r="K12" t="s">
        <v>433</v>
      </c>
      <c r="L12" t="s">
        <v>434</v>
      </c>
      <c r="M12" t="s">
        <v>442</v>
      </c>
      <c r="N12" t="s">
        <v>444</v>
      </c>
      <c r="O12">
        <v>2</v>
      </c>
      <c r="P12">
        <v>14.84</v>
      </c>
    </row>
    <row r="13" spans="1:16">
      <c r="A13" t="s">
        <v>24</v>
      </c>
      <c r="B13">
        <v>42</v>
      </c>
      <c r="C13" t="s">
        <v>414</v>
      </c>
      <c r="D13" t="s">
        <v>423</v>
      </c>
      <c r="E13" t="s">
        <v>424</v>
      </c>
      <c r="F13" t="s">
        <v>429</v>
      </c>
      <c r="G13">
        <v>248.828</v>
      </c>
      <c r="H13">
        <v>35.884</v>
      </c>
      <c r="I13">
        <v>45</v>
      </c>
      <c r="J13">
        <v>1686.31</v>
      </c>
      <c r="K13" t="s">
        <v>432</v>
      </c>
      <c r="L13" t="s">
        <v>436</v>
      </c>
      <c r="M13" t="s">
        <v>442</v>
      </c>
      <c r="N13" t="s">
        <v>443</v>
      </c>
      <c r="O13">
        <v>8</v>
      </c>
      <c r="P13">
        <v>20.05</v>
      </c>
    </row>
    <row r="14" spans="1:16">
      <c r="A14" t="s">
        <v>25</v>
      </c>
      <c r="B14">
        <v>40</v>
      </c>
      <c r="C14" t="s">
        <v>413</v>
      </c>
      <c r="D14" t="s">
        <v>416</v>
      </c>
      <c r="E14" t="s">
        <v>425</v>
      </c>
      <c r="F14" t="s">
        <v>431</v>
      </c>
      <c r="G14">
        <v>238.476</v>
      </c>
      <c r="H14">
        <v>59.942999999999998</v>
      </c>
      <c r="I14">
        <v>51</v>
      </c>
      <c r="J14">
        <v>1567.51</v>
      </c>
      <c r="K14" t="s">
        <v>432</v>
      </c>
      <c r="L14" t="s">
        <v>434</v>
      </c>
      <c r="M14" t="s">
        <v>439</v>
      </c>
      <c r="N14" t="s">
        <v>444</v>
      </c>
      <c r="O14">
        <v>10</v>
      </c>
      <c r="P14">
        <v>43.95</v>
      </c>
    </row>
    <row r="15" spans="1:16">
      <c r="A15" t="s">
        <v>26</v>
      </c>
      <c r="B15">
        <v>54</v>
      </c>
      <c r="C15" t="s">
        <v>414</v>
      </c>
      <c r="D15" t="s">
        <v>416</v>
      </c>
      <c r="E15" t="s">
        <v>424</v>
      </c>
      <c r="F15" t="s">
        <v>429</v>
      </c>
      <c r="G15">
        <v>158.75299999999999</v>
      </c>
      <c r="H15">
        <v>55.834000000000003</v>
      </c>
      <c r="I15">
        <v>48</v>
      </c>
      <c r="J15">
        <v>1788.21</v>
      </c>
      <c r="K15" t="s">
        <v>433</v>
      </c>
      <c r="L15" t="s">
        <v>435</v>
      </c>
      <c r="M15" t="s">
        <v>442</v>
      </c>
      <c r="N15" t="s">
        <v>445</v>
      </c>
      <c r="O15">
        <v>3</v>
      </c>
      <c r="P15">
        <v>8.36</v>
      </c>
    </row>
    <row r="16" spans="1:16">
      <c r="A16" t="s">
        <v>27</v>
      </c>
      <c r="B16">
        <v>58</v>
      </c>
      <c r="C16" t="s">
        <v>413</v>
      </c>
      <c r="D16" t="s">
        <v>422</v>
      </c>
      <c r="E16" t="s">
        <v>424</v>
      </c>
      <c r="F16" t="s">
        <v>429</v>
      </c>
      <c r="G16">
        <v>203.994</v>
      </c>
      <c r="H16">
        <v>15.707000000000001</v>
      </c>
      <c r="I16">
        <v>41</v>
      </c>
      <c r="J16">
        <v>383.1</v>
      </c>
      <c r="K16" t="s">
        <v>433</v>
      </c>
      <c r="L16" t="s">
        <v>434</v>
      </c>
      <c r="M16" t="s">
        <v>438</v>
      </c>
      <c r="N16" t="s">
        <v>445</v>
      </c>
      <c r="O16">
        <v>6</v>
      </c>
      <c r="P16">
        <v>0.36</v>
      </c>
    </row>
    <row r="17" spans="1:16">
      <c r="A17" t="s">
        <v>28</v>
      </c>
      <c r="B17">
        <v>64</v>
      </c>
      <c r="C17" t="s">
        <v>414</v>
      </c>
      <c r="D17" t="s">
        <v>418</v>
      </c>
      <c r="E17" t="s">
        <v>427</v>
      </c>
      <c r="F17" t="s">
        <v>429</v>
      </c>
      <c r="G17">
        <v>113.80500000000001</v>
      </c>
      <c r="H17">
        <v>67.504000000000005</v>
      </c>
      <c r="I17">
        <v>71</v>
      </c>
      <c r="J17">
        <v>1514.14</v>
      </c>
      <c r="K17" t="s">
        <v>433</v>
      </c>
      <c r="L17" t="s">
        <v>436</v>
      </c>
      <c r="M17" t="s">
        <v>440</v>
      </c>
      <c r="N17" t="s">
        <v>444</v>
      </c>
      <c r="O17">
        <v>3</v>
      </c>
      <c r="P17">
        <v>7.55</v>
      </c>
    </row>
    <row r="18" spans="1:16">
      <c r="A18" t="s">
        <v>29</v>
      </c>
      <c r="B18">
        <v>48</v>
      </c>
      <c r="C18" t="s">
        <v>414</v>
      </c>
      <c r="D18" t="s">
        <v>418</v>
      </c>
      <c r="E18" t="s">
        <v>424</v>
      </c>
      <c r="F18" t="s">
        <v>431</v>
      </c>
      <c r="G18">
        <v>58.161000000000001</v>
      </c>
      <c r="H18">
        <v>42.305</v>
      </c>
      <c r="I18">
        <v>48</v>
      </c>
      <c r="J18">
        <v>556.11</v>
      </c>
      <c r="K18" t="s">
        <v>432</v>
      </c>
      <c r="L18" t="s">
        <v>435</v>
      </c>
      <c r="M18" t="s">
        <v>438</v>
      </c>
      <c r="N18" t="s">
        <v>445</v>
      </c>
      <c r="O18">
        <v>5</v>
      </c>
      <c r="P18">
        <v>16.649999999999999</v>
      </c>
    </row>
    <row r="19" spans="1:16">
      <c r="A19" t="s">
        <v>30</v>
      </c>
      <c r="B19">
        <v>48</v>
      </c>
      <c r="C19" t="s">
        <v>413</v>
      </c>
      <c r="D19" t="s">
        <v>422</v>
      </c>
      <c r="E19" t="s">
        <v>427</v>
      </c>
      <c r="F19" t="s">
        <v>428</v>
      </c>
      <c r="G19">
        <v>186.03899999999999</v>
      </c>
      <c r="H19">
        <v>45.494</v>
      </c>
      <c r="I19">
        <v>18</v>
      </c>
      <c r="J19">
        <v>699.02</v>
      </c>
      <c r="K19" t="s">
        <v>432</v>
      </c>
      <c r="L19" t="s">
        <v>437</v>
      </c>
      <c r="M19" t="s">
        <v>440</v>
      </c>
      <c r="N19" t="s">
        <v>443</v>
      </c>
      <c r="O19">
        <v>8</v>
      </c>
      <c r="P19">
        <v>45.26</v>
      </c>
    </row>
    <row r="20" spans="1:16">
      <c r="A20" t="s">
        <v>31</v>
      </c>
      <c r="B20">
        <v>49</v>
      </c>
      <c r="C20" t="s">
        <v>413</v>
      </c>
      <c r="D20" t="s">
        <v>422</v>
      </c>
      <c r="E20" t="s">
        <v>425</v>
      </c>
      <c r="F20" t="s">
        <v>429</v>
      </c>
      <c r="G20">
        <v>93.415000000000006</v>
      </c>
      <c r="H20">
        <v>25.003</v>
      </c>
      <c r="I20">
        <v>31</v>
      </c>
      <c r="J20">
        <v>419.87</v>
      </c>
      <c r="K20" t="s">
        <v>432</v>
      </c>
      <c r="L20" t="s">
        <v>437</v>
      </c>
      <c r="M20" t="s">
        <v>441</v>
      </c>
      <c r="N20" t="s">
        <v>444</v>
      </c>
      <c r="O20">
        <v>3</v>
      </c>
      <c r="P20">
        <v>47.76</v>
      </c>
    </row>
    <row r="21" spans="1:16">
      <c r="A21" t="s">
        <v>32</v>
      </c>
      <c r="B21">
        <v>25</v>
      </c>
      <c r="C21" t="s">
        <v>413</v>
      </c>
      <c r="D21" t="s">
        <v>422</v>
      </c>
      <c r="E21" t="s">
        <v>426</v>
      </c>
      <c r="F21" t="s">
        <v>430</v>
      </c>
      <c r="G21">
        <v>165.44499999999999</v>
      </c>
      <c r="H21">
        <v>46.646000000000001</v>
      </c>
      <c r="I21">
        <v>43</v>
      </c>
      <c r="J21">
        <v>1084.79</v>
      </c>
      <c r="K21" t="s">
        <v>432</v>
      </c>
      <c r="L21" t="s">
        <v>434</v>
      </c>
      <c r="M21" t="s">
        <v>439</v>
      </c>
      <c r="N21" t="s">
        <v>444</v>
      </c>
      <c r="O21">
        <v>7</v>
      </c>
      <c r="P21">
        <v>2.65</v>
      </c>
    </row>
    <row r="22" spans="1:16">
      <c r="A22" t="s">
        <v>33</v>
      </c>
      <c r="B22">
        <v>65</v>
      </c>
      <c r="C22" t="s">
        <v>414</v>
      </c>
      <c r="D22" t="s">
        <v>418</v>
      </c>
      <c r="E22" t="s">
        <v>426</v>
      </c>
      <c r="F22" t="s">
        <v>429</v>
      </c>
      <c r="G22">
        <v>140.40199999999999</v>
      </c>
      <c r="H22">
        <v>32.247999999999998</v>
      </c>
      <c r="I22">
        <v>50</v>
      </c>
      <c r="J22">
        <v>548.32000000000005</v>
      </c>
      <c r="K22" t="s">
        <v>432</v>
      </c>
      <c r="L22" t="s">
        <v>434</v>
      </c>
      <c r="M22" t="s">
        <v>439</v>
      </c>
      <c r="N22" t="s">
        <v>443</v>
      </c>
      <c r="O22">
        <v>6</v>
      </c>
      <c r="P22">
        <v>24.29</v>
      </c>
    </row>
    <row r="23" spans="1:16">
      <c r="A23" t="s">
        <v>34</v>
      </c>
      <c r="B23">
        <v>42</v>
      </c>
      <c r="C23" t="s">
        <v>414</v>
      </c>
      <c r="D23" t="s">
        <v>423</v>
      </c>
      <c r="E23" t="s">
        <v>426</v>
      </c>
      <c r="F23" t="s">
        <v>429</v>
      </c>
      <c r="G23">
        <v>59.017000000000003</v>
      </c>
      <c r="H23">
        <v>71.543000000000006</v>
      </c>
      <c r="I23">
        <v>75</v>
      </c>
      <c r="J23">
        <v>953.91</v>
      </c>
      <c r="K23" t="s">
        <v>432</v>
      </c>
      <c r="L23" t="s">
        <v>434</v>
      </c>
      <c r="M23" t="s">
        <v>439</v>
      </c>
      <c r="N23" t="s">
        <v>443</v>
      </c>
      <c r="O23">
        <v>4</v>
      </c>
      <c r="P23">
        <v>32.71</v>
      </c>
    </row>
    <row r="24" spans="1:16">
      <c r="A24" t="s">
        <v>35</v>
      </c>
      <c r="B24">
        <v>18</v>
      </c>
      <c r="C24" t="s">
        <v>414</v>
      </c>
      <c r="D24" t="s">
        <v>420</v>
      </c>
      <c r="E24" t="s">
        <v>424</v>
      </c>
      <c r="F24" t="s">
        <v>429</v>
      </c>
      <c r="G24">
        <v>59.850999999999999</v>
      </c>
      <c r="H24">
        <v>37.268999999999998</v>
      </c>
      <c r="I24">
        <v>31</v>
      </c>
      <c r="J24">
        <v>2815.13</v>
      </c>
      <c r="K24" t="s">
        <v>433</v>
      </c>
      <c r="L24" t="s">
        <v>435</v>
      </c>
      <c r="M24" t="s">
        <v>438</v>
      </c>
      <c r="N24" t="s">
        <v>444</v>
      </c>
      <c r="O24">
        <v>6</v>
      </c>
      <c r="P24">
        <v>5.56</v>
      </c>
    </row>
    <row r="25" spans="1:16">
      <c r="A25" t="s">
        <v>36</v>
      </c>
      <c r="B25">
        <v>65</v>
      </c>
      <c r="C25" t="s">
        <v>413</v>
      </c>
      <c r="D25" t="s">
        <v>417</v>
      </c>
      <c r="E25" t="s">
        <v>424</v>
      </c>
      <c r="F25" t="s">
        <v>429</v>
      </c>
      <c r="G25">
        <v>134.643</v>
      </c>
      <c r="H25">
        <v>34.418999999999997</v>
      </c>
      <c r="I25">
        <v>64</v>
      </c>
      <c r="J25">
        <v>537.79999999999995</v>
      </c>
      <c r="K25" t="s">
        <v>433</v>
      </c>
      <c r="L25" t="s">
        <v>436</v>
      </c>
      <c r="M25" t="s">
        <v>438</v>
      </c>
      <c r="N25" t="s">
        <v>443</v>
      </c>
      <c r="O25">
        <v>4</v>
      </c>
      <c r="P25">
        <v>8.52</v>
      </c>
    </row>
    <row r="26" spans="1:16">
      <c r="A26" t="s">
        <v>37</v>
      </c>
      <c r="B26">
        <v>38</v>
      </c>
      <c r="C26" t="s">
        <v>414</v>
      </c>
      <c r="D26" t="s">
        <v>421</v>
      </c>
      <c r="E26" t="s">
        <v>427</v>
      </c>
      <c r="F26" t="s">
        <v>429</v>
      </c>
      <c r="G26">
        <v>175.435</v>
      </c>
      <c r="H26">
        <v>62.975000000000001</v>
      </c>
      <c r="I26">
        <v>40</v>
      </c>
      <c r="J26">
        <v>449.82</v>
      </c>
      <c r="K26" t="s">
        <v>432</v>
      </c>
      <c r="L26" t="s">
        <v>434</v>
      </c>
      <c r="M26" t="s">
        <v>442</v>
      </c>
      <c r="N26" t="s">
        <v>443</v>
      </c>
      <c r="O26">
        <v>2</v>
      </c>
      <c r="P26">
        <v>33.01</v>
      </c>
    </row>
    <row r="27" spans="1:16">
      <c r="A27" t="s">
        <v>38</v>
      </c>
      <c r="B27">
        <v>51</v>
      </c>
      <c r="C27" t="s">
        <v>413</v>
      </c>
      <c r="D27" t="s">
        <v>419</v>
      </c>
      <c r="E27" t="s">
        <v>427</v>
      </c>
      <c r="F27" t="s">
        <v>431</v>
      </c>
      <c r="G27">
        <v>166.505</v>
      </c>
      <c r="H27">
        <v>51.877000000000002</v>
      </c>
      <c r="I27">
        <v>62</v>
      </c>
      <c r="J27">
        <v>1481.89</v>
      </c>
      <c r="K27" t="s">
        <v>433</v>
      </c>
      <c r="L27" t="s">
        <v>436</v>
      </c>
      <c r="M27" t="s">
        <v>440</v>
      </c>
      <c r="N27" t="s">
        <v>444</v>
      </c>
      <c r="O27">
        <v>7</v>
      </c>
      <c r="P27">
        <v>45.35</v>
      </c>
    </row>
    <row r="28" spans="1:16">
      <c r="A28" t="s">
        <v>39</v>
      </c>
      <c r="B28">
        <v>20</v>
      </c>
      <c r="C28" t="s">
        <v>414</v>
      </c>
      <c r="D28" t="s">
        <v>420</v>
      </c>
      <c r="E28" t="s">
        <v>426</v>
      </c>
      <c r="F28" t="s">
        <v>429</v>
      </c>
      <c r="G28">
        <v>110.54900000000001</v>
      </c>
      <c r="H28">
        <v>38.255000000000003</v>
      </c>
      <c r="I28">
        <v>13</v>
      </c>
      <c r="J28">
        <v>2942.69</v>
      </c>
      <c r="K28" t="s">
        <v>433</v>
      </c>
      <c r="L28" t="s">
        <v>435</v>
      </c>
      <c r="M28" t="s">
        <v>438</v>
      </c>
      <c r="N28" t="s">
        <v>444</v>
      </c>
      <c r="O28">
        <v>3</v>
      </c>
      <c r="P28">
        <v>6.9</v>
      </c>
    </row>
    <row r="29" spans="1:16">
      <c r="A29" t="s">
        <v>40</v>
      </c>
      <c r="B29">
        <v>30</v>
      </c>
      <c r="C29" t="s">
        <v>413</v>
      </c>
      <c r="D29" t="s">
        <v>420</v>
      </c>
      <c r="E29" t="s">
        <v>425</v>
      </c>
      <c r="F29" t="s">
        <v>430</v>
      </c>
      <c r="G29">
        <v>179.678</v>
      </c>
      <c r="H29">
        <v>20.73</v>
      </c>
      <c r="I29">
        <v>68</v>
      </c>
      <c r="J29">
        <v>304.85000000000002</v>
      </c>
      <c r="K29" t="s">
        <v>433</v>
      </c>
      <c r="L29" t="s">
        <v>436</v>
      </c>
      <c r="M29" t="s">
        <v>441</v>
      </c>
      <c r="N29" t="s">
        <v>445</v>
      </c>
      <c r="O29">
        <v>9</v>
      </c>
      <c r="P29">
        <v>29.77</v>
      </c>
    </row>
    <row r="30" spans="1:16">
      <c r="A30" t="s">
        <v>41</v>
      </c>
      <c r="B30">
        <v>37</v>
      </c>
      <c r="C30" t="s">
        <v>414</v>
      </c>
      <c r="D30" t="s">
        <v>421</v>
      </c>
      <c r="E30" t="s">
        <v>424</v>
      </c>
      <c r="F30" t="s">
        <v>428</v>
      </c>
      <c r="G30">
        <v>169.26300000000001</v>
      </c>
      <c r="H30">
        <v>42.258000000000003</v>
      </c>
      <c r="I30">
        <v>68</v>
      </c>
      <c r="J30">
        <v>621.44000000000005</v>
      </c>
      <c r="K30" t="s">
        <v>433</v>
      </c>
      <c r="L30" t="s">
        <v>437</v>
      </c>
      <c r="M30" t="s">
        <v>440</v>
      </c>
      <c r="N30" t="s">
        <v>445</v>
      </c>
      <c r="O30">
        <v>2</v>
      </c>
      <c r="P30">
        <v>39.270000000000003</v>
      </c>
    </row>
    <row r="31" spans="1:16">
      <c r="A31" t="s">
        <v>42</v>
      </c>
      <c r="B31">
        <v>74</v>
      </c>
      <c r="C31" t="s">
        <v>413</v>
      </c>
      <c r="D31" t="s">
        <v>416</v>
      </c>
      <c r="E31" t="s">
        <v>425</v>
      </c>
      <c r="F31" t="s">
        <v>431</v>
      </c>
      <c r="G31">
        <v>130.84800000000001</v>
      </c>
      <c r="H31">
        <v>66.81</v>
      </c>
      <c r="I31">
        <v>32</v>
      </c>
      <c r="J31">
        <v>506.14</v>
      </c>
      <c r="K31" t="s">
        <v>433</v>
      </c>
      <c r="L31" t="s">
        <v>434</v>
      </c>
      <c r="M31" t="s">
        <v>442</v>
      </c>
      <c r="N31" t="s">
        <v>445</v>
      </c>
      <c r="O31">
        <v>8</v>
      </c>
      <c r="P31">
        <v>33.85</v>
      </c>
    </row>
    <row r="32" spans="1:16">
      <c r="A32" t="s">
        <v>43</v>
      </c>
      <c r="B32">
        <v>70</v>
      </c>
      <c r="C32" t="s">
        <v>414</v>
      </c>
      <c r="D32" t="s">
        <v>422</v>
      </c>
      <c r="E32" t="s">
        <v>424</v>
      </c>
      <c r="F32" t="s">
        <v>430</v>
      </c>
      <c r="G32">
        <v>54.445999999999998</v>
      </c>
      <c r="H32">
        <v>8.32</v>
      </c>
      <c r="I32">
        <v>51</v>
      </c>
      <c r="J32">
        <v>163.13999999999999</v>
      </c>
      <c r="K32" t="s">
        <v>433</v>
      </c>
      <c r="L32" t="s">
        <v>435</v>
      </c>
      <c r="M32" t="s">
        <v>440</v>
      </c>
      <c r="N32" t="s">
        <v>443</v>
      </c>
      <c r="O32">
        <v>9</v>
      </c>
      <c r="P32">
        <v>40.82</v>
      </c>
    </row>
    <row r="33" spans="1:16">
      <c r="A33" t="s">
        <v>44</v>
      </c>
      <c r="B33">
        <v>19</v>
      </c>
      <c r="C33" t="s">
        <v>413</v>
      </c>
      <c r="D33" t="s">
        <v>419</v>
      </c>
      <c r="E33" t="s">
        <v>427</v>
      </c>
      <c r="F33" t="s">
        <v>429</v>
      </c>
      <c r="G33">
        <v>32.32</v>
      </c>
      <c r="H33">
        <v>76.06</v>
      </c>
      <c r="I33">
        <v>39</v>
      </c>
      <c r="J33">
        <v>547.19000000000005</v>
      </c>
      <c r="K33" t="s">
        <v>432</v>
      </c>
      <c r="L33" t="s">
        <v>435</v>
      </c>
      <c r="M33" t="s">
        <v>438</v>
      </c>
      <c r="N33" t="s">
        <v>444</v>
      </c>
      <c r="O33">
        <v>6</v>
      </c>
      <c r="P33">
        <v>13.06</v>
      </c>
    </row>
    <row r="34" spans="1:16">
      <c r="A34" t="s">
        <v>45</v>
      </c>
      <c r="B34">
        <v>75</v>
      </c>
      <c r="C34" t="s">
        <v>413</v>
      </c>
      <c r="D34" t="s">
        <v>416</v>
      </c>
      <c r="E34" t="s">
        <v>425</v>
      </c>
      <c r="F34" t="s">
        <v>431</v>
      </c>
      <c r="G34">
        <v>72.727000000000004</v>
      </c>
      <c r="H34">
        <v>69.683000000000007</v>
      </c>
      <c r="I34">
        <v>48</v>
      </c>
      <c r="J34">
        <v>1451.73</v>
      </c>
      <c r="K34" t="s">
        <v>432</v>
      </c>
      <c r="L34" t="s">
        <v>434</v>
      </c>
      <c r="M34" t="s">
        <v>440</v>
      </c>
      <c r="N34" t="s">
        <v>444</v>
      </c>
      <c r="O34">
        <v>7</v>
      </c>
      <c r="P34">
        <v>5.43</v>
      </c>
    </row>
    <row r="35" spans="1:16">
      <c r="A35" t="s">
        <v>46</v>
      </c>
      <c r="B35">
        <v>66</v>
      </c>
      <c r="C35" t="s">
        <v>413</v>
      </c>
      <c r="D35" t="s">
        <v>418</v>
      </c>
      <c r="E35" t="s">
        <v>426</v>
      </c>
      <c r="F35" t="s">
        <v>429</v>
      </c>
      <c r="G35">
        <v>92.537000000000006</v>
      </c>
      <c r="H35">
        <v>12.763</v>
      </c>
      <c r="I35">
        <v>12</v>
      </c>
      <c r="J35">
        <v>736.21</v>
      </c>
      <c r="K35" t="s">
        <v>432</v>
      </c>
      <c r="L35" t="s">
        <v>434</v>
      </c>
      <c r="M35" t="s">
        <v>439</v>
      </c>
      <c r="N35" t="s">
        <v>445</v>
      </c>
      <c r="O35">
        <v>3</v>
      </c>
      <c r="P35">
        <v>16.61</v>
      </c>
    </row>
    <row r="36" spans="1:16">
      <c r="A36" t="s">
        <v>47</v>
      </c>
      <c r="B36">
        <v>36</v>
      </c>
      <c r="C36" t="s">
        <v>413</v>
      </c>
      <c r="D36" t="s">
        <v>420</v>
      </c>
      <c r="E36" t="s">
        <v>425</v>
      </c>
      <c r="F36" t="s">
        <v>428</v>
      </c>
      <c r="G36">
        <v>26.861000000000001</v>
      </c>
      <c r="H36">
        <v>71.554000000000002</v>
      </c>
      <c r="I36">
        <v>101</v>
      </c>
      <c r="J36">
        <v>708.46</v>
      </c>
      <c r="K36" t="s">
        <v>432</v>
      </c>
      <c r="L36" t="s">
        <v>435</v>
      </c>
      <c r="M36" t="s">
        <v>442</v>
      </c>
      <c r="N36" t="s">
        <v>444</v>
      </c>
      <c r="O36">
        <v>6</v>
      </c>
      <c r="P36">
        <v>9.41</v>
      </c>
    </row>
    <row r="37" spans="1:16">
      <c r="A37" t="s">
        <v>48</v>
      </c>
      <c r="B37">
        <v>72</v>
      </c>
      <c r="C37" t="s">
        <v>413</v>
      </c>
      <c r="D37" t="s">
        <v>423</v>
      </c>
      <c r="E37" t="s">
        <v>426</v>
      </c>
      <c r="F37" t="s">
        <v>428</v>
      </c>
      <c r="G37">
        <v>86.099000000000004</v>
      </c>
      <c r="H37">
        <v>25.687000000000001</v>
      </c>
      <c r="I37">
        <v>18</v>
      </c>
      <c r="J37">
        <v>903.8</v>
      </c>
      <c r="K37" t="s">
        <v>432</v>
      </c>
      <c r="L37" t="s">
        <v>436</v>
      </c>
      <c r="M37" t="s">
        <v>440</v>
      </c>
      <c r="N37" t="s">
        <v>445</v>
      </c>
      <c r="O37">
        <v>7</v>
      </c>
      <c r="P37">
        <v>14.58</v>
      </c>
    </row>
    <row r="38" spans="1:16">
      <c r="A38" t="s">
        <v>49</v>
      </c>
      <c r="B38">
        <v>27</v>
      </c>
      <c r="C38" t="s">
        <v>414</v>
      </c>
      <c r="D38" t="s">
        <v>419</v>
      </c>
      <c r="E38" t="s">
        <v>424</v>
      </c>
      <c r="F38" t="s">
        <v>429</v>
      </c>
      <c r="G38">
        <v>92.39</v>
      </c>
      <c r="H38">
        <v>79.507999999999996</v>
      </c>
      <c r="I38">
        <v>12</v>
      </c>
      <c r="J38">
        <v>6625.67</v>
      </c>
      <c r="K38" t="s">
        <v>433</v>
      </c>
      <c r="L38" t="s">
        <v>436</v>
      </c>
      <c r="M38" t="s">
        <v>441</v>
      </c>
      <c r="N38" t="s">
        <v>444</v>
      </c>
      <c r="O38">
        <v>4</v>
      </c>
      <c r="P38">
        <v>12</v>
      </c>
    </row>
    <row r="39" spans="1:16">
      <c r="A39" t="s">
        <v>50</v>
      </c>
      <c r="B39">
        <v>18</v>
      </c>
      <c r="C39" t="s">
        <v>413</v>
      </c>
      <c r="D39" t="s">
        <v>420</v>
      </c>
      <c r="E39" t="s">
        <v>424</v>
      </c>
      <c r="F39" t="s">
        <v>428</v>
      </c>
      <c r="G39">
        <v>29.562999999999999</v>
      </c>
      <c r="H39">
        <v>55.863999999999997</v>
      </c>
      <c r="I39">
        <v>36</v>
      </c>
      <c r="J39">
        <v>826.41</v>
      </c>
      <c r="K39" t="s">
        <v>432</v>
      </c>
      <c r="L39" t="s">
        <v>436</v>
      </c>
      <c r="M39" t="s">
        <v>441</v>
      </c>
      <c r="N39" t="s">
        <v>445</v>
      </c>
      <c r="O39">
        <v>7</v>
      </c>
      <c r="P39">
        <v>10.08</v>
      </c>
    </row>
    <row r="40" spans="1:16">
      <c r="A40" t="s">
        <v>51</v>
      </c>
      <c r="B40">
        <v>49</v>
      </c>
      <c r="C40" t="s">
        <v>414</v>
      </c>
      <c r="D40" t="s">
        <v>419</v>
      </c>
      <c r="E40" t="s">
        <v>425</v>
      </c>
      <c r="F40" t="s">
        <v>429</v>
      </c>
      <c r="G40">
        <v>125.679</v>
      </c>
      <c r="H40">
        <v>21.869</v>
      </c>
      <c r="I40">
        <v>51</v>
      </c>
      <c r="J40">
        <v>428.8</v>
      </c>
      <c r="K40" t="s">
        <v>433</v>
      </c>
      <c r="L40" t="s">
        <v>435</v>
      </c>
      <c r="M40" t="s">
        <v>439</v>
      </c>
      <c r="N40" t="s">
        <v>444</v>
      </c>
      <c r="O40">
        <v>2</v>
      </c>
      <c r="P40">
        <v>46.47</v>
      </c>
    </row>
    <row r="41" spans="1:16">
      <c r="A41" t="s">
        <v>52</v>
      </c>
      <c r="B41">
        <v>55</v>
      </c>
      <c r="C41" t="s">
        <v>414</v>
      </c>
      <c r="D41" t="s">
        <v>422</v>
      </c>
      <c r="E41" t="s">
        <v>424</v>
      </c>
      <c r="F41" t="s">
        <v>429</v>
      </c>
      <c r="G41">
        <v>48.691000000000003</v>
      </c>
      <c r="H41">
        <v>48.048999999999999</v>
      </c>
      <c r="I41">
        <v>43</v>
      </c>
      <c r="J41">
        <v>336.01</v>
      </c>
      <c r="K41" t="s">
        <v>432</v>
      </c>
      <c r="L41" t="s">
        <v>437</v>
      </c>
      <c r="M41" t="s">
        <v>440</v>
      </c>
      <c r="N41" t="s">
        <v>443</v>
      </c>
      <c r="O41">
        <v>8</v>
      </c>
      <c r="P41">
        <v>14.21</v>
      </c>
    </row>
    <row r="42" spans="1:16">
      <c r="A42" t="s">
        <v>53</v>
      </c>
      <c r="B42">
        <v>24</v>
      </c>
      <c r="C42" t="s">
        <v>415</v>
      </c>
      <c r="D42" t="s">
        <v>422</v>
      </c>
      <c r="E42" t="s">
        <v>424</v>
      </c>
      <c r="F42" t="s">
        <v>429</v>
      </c>
      <c r="G42">
        <v>230.56399999999999</v>
      </c>
      <c r="H42">
        <v>56.99</v>
      </c>
      <c r="I42">
        <v>14</v>
      </c>
      <c r="J42">
        <v>499.91</v>
      </c>
      <c r="K42" t="s">
        <v>432</v>
      </c>
      <c r="L42" t="s">
        <v>434</v>
      </c>
      <c r="M42" t="s">
        <v>439</v>
      </c>
      <c r="N42" t="s">
        <v>443</v>
      </c>
      <c r="O42">
        <v>5</v>
      </c>
      <c r="P42">
        <v>24.92</v>
      </c>
    </row>
    <row r="43" spans="1:16">
      <c r="A43" t="s">
        <v>54</v>
      </c>
      <c r="B43">
        <v>47</v>
      </c>
      <c r="C43" t="s">
        <v>414</v>
      </c>
      <c r="D43" t="s">
        <v>423</v>
      </c>
      <c r="E43" t="s">
        <v>426</v>
      </c>
      <c r="F43" t="s">
        <v>429</v>
      </c>
      <c r="G43">
        <v>62.098999999999997</v>
      </c>
      <c r="H43">
        <v>56.372999999999998</v>
      </c>
      <c r="I43">
        <v>26</v>
      </c>
      <c r="J43">
        <v>447.4</v>
      </c>
      <c r="K43" t="s">
        <v>432</v>
      </c>
      <c r="L43" t="s">
        <v>437</v>
      </c>
      <c r="M43" t="s">
        <v>442</v>
      </c>
      <c r="N43" t="s">
        <v>443</v>
      </c>
      <c r="O43">
        <v>3</v>
      </c>
      <c r="P43">
        <v>19.59</v>
      </c>
    </row>
    <row r="44" spans="1:16">
      <c r="A44" t="s">
        <v>55</v>
      </c>
      <c r="B44">
        <v>59</v>
      </c>
      <c r="C44" t="s">
        <v>414</v>
      </c>
      <c r="D44" t="s">
        <v>418</v>
      </c>
      <c r="E44" t="s">
        <v>425</v>
      </c>
      <c r="F44" t="s">
        <v>429</v>
      </c>
      <c r="G44">
        <v>220.21799999999999</v>
      </c>
      <c r="H44">
        <v>44.795000000000002</v>
      </c>
      <c r="I44">
        <v>32</v>
      </c>
      <c r="J44">
        <v>339.36</v>
      </c>
      <c r="K44" t="s">
        <v>432</v>
      </c>
      <c r="L44" t="s">
        <v>437</v>
      </c>
      <c r="M44" t="s">
        <v>440</v>
      </c>
      <c r="N44" t="s">
        <v>445</v>
      </c>
      <c r="O44">
        <v>6</v>
      </c>
      <c r="P44">
        <v>39.5</v>
      </c>
    </row>
    <row r="45" spans="1:16">
      <c r="A45" t="s">
        <v>56</v>
      </c>
      <c r="B45">
        <v>22</v>
      </c>
      <c r="C45" t="s">
        <v>413</v>
      </c>
      <c r="D45" t="s">
        <v>420</v>
      </c>
      <c r="E45" t="s">
        <v>426</v>
      </c>
      <c r="F45" t="s">
        <v>431</v>
      </c>
      <c r="G45">
        <v>81.924999999999997</v>
      </c>
      <c r="H45">
        <v>22.158000000000001</v>
      </c>
      <c r="I45">
        <v>22</v>
      </c>
      <c r="J45">
        <v>1007.18</v>
      </c>
      <c r="K45" t="s">
        <v>433</v>
      </c>
      <c r="L45" t="s">
        <v>435</v>
      </c>
      <c r="M45" t="s">
        <v>442</v>
      </c>
      <c r="N45" t="s">
        <v>443</v>
      </c>
      <c r="O45">
        <v>6</v>
      </c>
      <c r="P45">
        <v>8.99</v>
      </c>
    </row>
    <row r="46" spans="1:16">
      <c r="A46" t="s">
        <v>57</v>
      </c>
      <c r="B46">
        <v>48</v>
      </c>
      <c r="C46" t="s">
        <v>413</v>
      </c>
      <c r="D46" t="s">
        <v>422</v>
      </c>
      <c r="E46" t="s">
        <v>426</v>
      </c>
      <c r="F46" t="s">
        <v>429</v>
      </c>
      <c r="G46">
        <v>91.02</v>
      </c>
      <c r="H46">
        <v>59.811999999999998</v>
      </c>
      <c r="I46">
        <v>80</v>
      </c>
      <c r="J46">
        <v>1372.65</v>
      </c>
      <c r="K46" t="s">
        <v>433</v>
      </c>
      <c r="L46" t="s">
        <v>434</v>
      </c>
      <c r="M46" t="s">
        <v>438</v>
      </c>
      <c r="N46" t="s">
        <v>444</v>
      </c>
      <c r="O46">
        <v>3</v>
      </c>
      <c r="P46">
        <v>39.47</v>
      </c>
    </row>
    <row r="47" spans="1:16">
      <c r="A47" t="s">
        <v>58</v>
      </c>
      <c r="B47">
        <v>48</v>
      </c>
      <c r="C47" t="s">
        <v>414</v>
      </c>
      <c r="D47" t="s">
        <v>417</v>
      </c>
      <c r="E47" t="s">
        <v>427</v>
      </c>
      <c r="F47" t="s">
        <v>428</v>
      </c>
      <c r="G47">
        <v>53.798999999999999</v>
      </c>
      <c r="H47">
        <v>28.178000000000001</v>
      </c>
      <c r="I47">
        <v>58</v>
      </c>
      <c r="J47">
        <v>1692.72</v>
      </c>
      <c r="K47" t="s">
        <v>432</v>
      </c>
      <c r="L47" t="s">
        <v>435</v>
      </c>
      <c r="M47" t="s">
        <v>438</v>
      </c>
      <c r="N47" t="s">
        <v>444</v>
      </c>
      <c r="O47">
        <v>7</v>
      </c>
      <c r="P47">
        <v>49.85</v>
      </c>
    </row>
    <row r="48" spans="1:16">
      <c r="A48" t="s">
        <v>59</v>
      </c>
      <c r="B48">
        <v>20</v>
      </c>
      <c r="C48" t="s">
        <v>413</v>
      </c>
      <c r="D48" t="s">
        <v>423</v>
      </c>
      <c r="E48" t="s">
        <v>425</v>
      </c>
      <c r="F48" t="s">
        <v>430</v>
      </c>
      <c r="G48">
        <v>193.47900000000001</v>
      </c>
      <c r="H48">
        <v>30.478000000000002</v>
      </c>
      <c r="I48">
        <v>88</v>
      </c>
      <c r="J48">
        <v>1028.1600000000001</v>
      </c>
      <c r="K48" t="s">
        <v>432</v>
      </c>
      <c r="L48" t="s">
        <v>436</v>
      </c>
      <c r="M48" t="s">
        <v>439</v>
      </c>
      <c r="N48" t="s">
        <v>445</v>
      </c>
      <c r="O48">
        <v>4</v>
      </c>
      <c r="P48">
        <v>2.5499999999999998</v>
      </c>
    </row>
    <row r="49" spans="1:16">
      <c r="A49" t="s">
        <v>60</v>
      </c>
      <c r="B49">
        <v>53</v>
      </c>
      <c r="C49" t="s">
        <v>414</v>
      </c>
      <c r="D49" t="s">
        <v>421</v>
      </c>
      <c r="E49" t="s">
        <v>426</v>
      </c>
      <c r="F49" t="s">
        <v>429</v>
      </c>
      <c r="G49">
        <v>62.921999999999997</v>
      </c>
      <c r="H49">
        <v>33.076000000000001</v>
      </c>
      <c r="I49">
        <v>98</v>
      </c>
      <c r="J49">
        <v>337.51</v>
      </c>
      <c r="K49" t="s">
        <v>432</v>
      </c>
      <c r="L49" t="s">
        <v>436</v>
      </c>
      <c r="M49" t="s">
        <v>439</v>
      </c>
      <c r="N49" t="s">
        <v>444</v>
      </c>
      <c r="O49">
        <v>10</v>
      </c>
      <c r="P49">
        <v>14.78</v>
      </c>
    </row>
    <row r="50" spans="1:16">
      <c r="A50" t="s">
        <v>61</v>
      </c>
      <c r="B50">
        <v>66</v>
      </c>
      <c r="C50" t="s">
        <v>414</v>
      </c>
      <c r="D50" t="s">
        <v>422</v>
      </c>
      <c r="E50" t="s">
        <v>427</v>
      </c>
      <c r="F50" t="s">
        <v>431</v>
      </c>
      <c r="G50">
        <v>142.309</v>
      </c>
      <c r="H50">
        <v>38.529000000000003</v>
      </c>
      <c r="I50">
        <v>27</v>
      </c>
      <c r="J50">
        <v>3649.22</v>
      </c>
      <c r="K50" t="s">
        <v>432</v>
      </c>
      <c r="L50" t="s">
        <v>436</v>
      </c>
      <c r="M50" t="s">
        <v>438</v>
      </c>
      <c r="N50" t="s">
        <v>444</v>
      </c>
      <c r="O50">
        <v>6</v>
      </c>
      <c r="P50">
        <v>49.32</v>
      </c>
    </row>
    <row r="51" spans="1:16">
      <c r="A51" t="s">
        <v>62</v>
      </c>
      <c r="B51">
        <v>20</v>
      </c>
      <c r="C51" t="s">
        <v>414</v>
      </c>
      <c r="D51" t="s">
        <v>418</v>
      </c>
      <c r="E51" t="s">
        <v>425</v>
      </c>
      <c r="F51" t="s">
        <v>429</v>
      </c>
      <c r="G51">
        <v>59.540999999999997</v>
      </c>
      <c r="H51">
        <v>25.236000000000001</v>
      </c>
      <c r="I51">
        <v>43</v>
      </c>
      <c r="J51">
        <v>586.88</v>
      </c>
      <c r="K51" t="s">
        <v>432</v>
      </c>
      <c r="L51" t="s">
        <v>436</v>
      </c>
      <c r="M51" t="s">
        <v>441</v>
      </c>
      <c r="N51" t="s">
        <v>444</v>
      </c>
      <c r="O51">
        <v>7</v>
      </c>
      <c r="P51">
        <v>8.69</v>
      </c>
    </row>
    <row r="52" spans="1:16">
      <c r="A52" t="s">
        <v>63</v>
      </c>
      <c r="B52">
        <v>32</v>
      </c>
      <c r="C52" t="s">
        <v>414</v>
      </c>
      <c r="D52" t="s">
        <v>422</v>
      </c>
      <c r="E52" t="s">
        <v>424</v>
      </c>
      <c r="F52" t="s">
        <v>431</v>
      </c>
      <c r="G52">
        <v>177.35</v>
      </c>
      <c r="H52">
        <v>43.134</v>
      </c>
      <c r="I52">
        <v>90</v>
      </c>
      <c r="J52">
        <v>1034.82</v>
      </c>
      <c r="K52" t="s">
        <v>433</v>
      </c>
      <c r="L52" t="s">
        <v>437</v>
      </c>
      <c r="M52" t="s">
        <v>440</v>
      </c>
      <c r="N52" t="s">
        <v>443</v>
      </c>
      <c r="O52">
        <v>7</v>
      </c>
      <c r="P52">
        <v>39.36</v>
      </c>
    </row>
    <row r="53" spans="1:16">
      <c r="A53" t="s">
        <v>64</v>
      </c>
      <c r="B53">
        <v>28</v>
      </c>
      <c r="C53" t="s">
        <v>414</v>
      </c>
      <c r="D53" t="s">
        <v>418</v>
      </c>
      <c r="E53" t="s">
        <v>425</v>
      </c>
      <c r="F53" t="s">
        <v>431</v>
      </c>
      <c r="G53">
        <v>168.916</v>
      </c>
      <c r="H53">
        <v>40.027999999999999</v>
      </c>
      <c r="I53">
        <v>89</v>
      </c>
      <c r="J53">
        <v>449.75</v>
      </c>
      <c r="K53" t="s">
        <v>433</v>
      </c>
      <c r="L53" t="s">
        <v>436</v>
      </c>
      <c r="M53" t="s">
        <v>438</v>
      </c>
      <c r="N53" t="s">
        <v>443</v>
      </c>
      <c r="O53">
        <v>5</v>
      </c>
      <c r="P53">
        <v>42.75</v>
      </c>
    </row>
    <row r="54" spans="1:16">
      <c r="A54" t="s">
        <v>65</v>
      </c>
      <c r="B54">
        <v>41</v>
      </c>
      <c r="C54" t="s">
        <v>413</v>
      </c>
      <c r="D54" t="s">
        <v>420</v>
      </c>
      <c r="E54" t="s">
        <v>424</v>
      </c>
      <c r="F54" t="s">
        <v>429</v>
      </c>
      <c r="G54">
        <v>178.458</v>
      </c>
      <c r="H54">
        <v>18.603000000000002</v>
      </c>
      <c r="I54">
        <v>14</v>
      </c>
      <c r="J54">
        <v>129.19</v>
      </c>
      <c r="K54" t="s">
        <v>433</v>
      </c>
      <c r="L54" t="s">
        <v>436</v>
      </c>
      <c r="M54" t="s">
        <v>440</v>
      </c>
      <c r="N54" t="s">
        <v>443</v>
      </c>
      <c r="O54">
        <v>1</v>
      </c>
      <c r="P54">
        <v>45.78</v>
      </c>
    </row>
    <row r="55" spans="1:16">
      <c r="A55" t="s">
        <v>66</v>
      </c>
      <c r="B55">
        <v>58</v>
      </c>
      <c r="C55" t="s">
        <v>413</v>
      </c>
      <c r="D55" t="s">
        <v>420</v>
      </c>
      <c r="E55" t="s">
        <v>424</v>
      </c>
      <c r="F55" t="s">
        <v>429</v>
      </c>
      <c r="G55">
        <v>170.637</v>
      </c>
      <c r="H55">
        <v>29.172999999999998</v>
      </c>
      <c r="I55">
        <v>75</v>
      </c>
      <c r="J55">
        <v>388.97</v>
      </c>
      <c r="K55" t="s">
        <v>432</v>
      </c>
      <c r="L55" t="s">
        <v>436</v>
      </c>
      <c r="M55" t="s">
        <v>441</v>
      </c>
      <c r="N55" t="s">
        <v>445</v>
      </c>
      <c r="O55">
        <v>3</v>
      </c>
      <c r="P55">
        <v>9.35</v>
      </c>
    </row>
    <row r="56" spans="1:16">
      <c r="A56" t="s">
        <v>67</v>
      </c>
      <c r="B56">
        <v>26</v>
      </c>
      <c r="C56" t="s">
        <v>413</v>
      </c>
      <c r="D56" t="s">
        <v>423</v>
      </c>
      <c r="E56" t="s">
        <v>424</v>
      </c>
      <c r="F56" t="s">
        <v>429</v>
      </c>
      <c r="G56">
        <v>164.69800000000001</v>
      </c>
      <c r="H56">
        <v>36.603000000000002</v>
      </c>
      <c r="I56">
        <v>14</v>
      </c>
      <c r="J56">
        <v>7614.5</v>
      </c>
      <c r="K56" t="s">
        <v>433</v>
      </c>
      <c r="L56" t="s">
        <v>434</v>
      </c>
      <c r="M56" t="s">
        <v>442</v>
      </c>
      <c r="N56" t="s">
        <v>444</v>
      </c>
      <c r="O56">
        <v>2</v>
      </c>
      <c r="P56">
        <v>41.49</v>
      </c>
    </row>
    <row r="57" spans="1:16">
      <c r="A57" t="s">
        <v>68</v>
      </c>
      <c r="B57">
        <v>62</v>
      </c>
      <c r="C57" t="s">
        <v>413</v>
      </c>
      <c r="D57" t="s">
        <v>419</v>
      </c>
      <c r="E57" t="s">
        <v>424</v>
      </c>
      <c r="F57" t="s">
        <v>431</v>
      </c>
      <c r="G57">
        <v>42.59</v>
      </c>
      <c r="H57">
        <v>73.004000000000005</v>
      </c>
      <c r="I57">
        <v>25</v>
      </c>
      <c r="J57">
        <v>904.03</v>
      </c>
      <c r="K57" t="s">
        <v>433</v>
      </c>
      <c r="L57" t="s">
        <v>435</v>
      </c>
      <c r="M57" t="s">
        <v>439</v>
      </c>
      <c r="N57" t="s">
        <v>444</v>
      </c>
      <c r="O57">
        <v>8</v>
      </c>
      <c r="P57">
        <v>16.329999999999998</v>
      </c>
    </row>
    <row r="58" spans="1:16">
      <c r="A58" t="s">
        <v>69</v>
      </c>
      <c r="B58">
        <v>24</v>
      </c>
      <c r="C58" t="s">
        <v>413</v>
      </c>
      <c r="D58" t="s">
        <v>418</v>
      </c>
      <c r="E58" t="s">
        <v>425</v>
      </c>
      <c r="F58" t="s">
        <v>428</v>
      </c>
      <c r="G58">
        <v>195.684</v>
      </c>
      <c r="H58">
        <v>56.515000000000001</v>
      </c>
      <c r="I58">
        <v>18</v>
      </c>
      <c r="J58">
        <v>893.66</v>
      </c>
      <c r="K58" t="s">
        <v>433</v>
      </c>
      <c r="L58" t="s">
        <v>434</v>
      </c>
      <c r="M58" t="s">
        <v>440</v>
      </c>
      <c r="N58" t="s">
        <v>443</v>
      </c>
      <c r="O58">
        <v>5</v>
      </c>
      <c r="P58">
        <v>7.51</v>
      </c>
    </row>
    <row r="59" spans="1:16">
      <c r="A59" t="s">
        <v>70</v>
      </c>
      <c r="B59">
        <v>65</v>
      </c>
      <c r="C59" t="s">
        <v>413</v>
      </c>
      <c r="D59" t="s">
        <v>422</v>
      </c>
      <c r="E59" t="s">
        <v>425</v>
      </c>
      <c r="F59" t="s">
        <v>428</v>
      </c>
      <c r="G59">
        <v>121.15</v>
      </c>
      <c r="H59">
        <v>61.512</v>
      </c>
      <c r="I59">
        <v>68</v>
      </c>
      <c r="J59">
        <v>904.59</v>
      </c>
      <c r="K59" t="s">
        <v>432</v>
      </c>
      <c r="L59" t="s">
        <v>436</v>
      </c>
      <c r="M59" t="s">
        <v>442</v>
      </c>
      <c r="N59" t="s">
        <v>444</v>
      </c>
      <c r="O59">
        <v>5</v>
      </c>
      <c r="P59">
        <v>40.54</v>
      </c>
    </row>
    <row r="60" spans="1:16">
      <c r="A60" t="s">
        <v>71</v>
      </c>
      <c r="B60">
        <v>74</v>
      </c>
      <c r="C60" t="s">
        <v>413</v>
      </c>
      <c r="D60" t="s">
        <v>419</v>
      </c>
      <c r="E60" t="s">
        <v>424</v>
      </c>
      <c r="F60" t="s">
        <v>431</v>
      </c>
      <c r="G60">
        <v>54.636000000000003</v>
      </c>
      <c r="H60">
        <v>80.498000000000005</v>
      </c>
      <c r="I60">
        <v>100</v>
      </c>
      <c r="J60">
        <v>804.98</v>
      </c>
      <c r="K60" t="s">
        <v>433</v>
      </c>
      <c r="L60" t="s">
        <v>435</v>
      </c>
      <c r="M60" t="s">
        <v>442</v>
      </c>
      <c r="N60" t="s">
        <v>443</v>
      </c>
      <c r="O60">
        <v>10</v>
      </c>
      <c r="P60">
        <v>23.31</v>
      </c>
    </row>
    <row r="61" spans="1:16">
      <c r="A61" t="s">
        <v>72</v>
      </c>
      <c r="B61">
        <v>51</v>
      </c>
      <c r="C61" t="s">
        <v>414</v>
      </c>
      <c r="D61" t="s">
        <v>416</v>
      </c>
      <c r="E61" t="s">
        <v>425</v>
      </c>
      <c r="F61" t="s">
        <v>428</v>
      </c>
      <c r="G61">
        <v>131.96799999999999</v>
      </c>
      <c r="H61">
        <v>27.545999999999999</v>
      </c>
      <c r="I61">
        <v>42</v>
      </c>
      <c r="J61">
        <v>655.86</v>
      </c>
      <c r="K61" t="s">
        <v>432</v>
      </c>
      <c r="L61" t="s">
        <v>436</v>
      </c>
      <c r="M61" t="s">
        <v>439</v>
      </c>
      <c r="N61" t="s">
        <v>444</v>
      </c>
      <c r="O61">
        <v>5</v>
      </c>
      <c r="P61">
        <v>15.98</v>
      </c>
    </row>
    <row r="62" spans="1:16">
      <c r="A62" t="s">
        <v>73</v>
      </c>
      <c r="B62">
        <v>27</v>
      </c>
      <c r="C62" t="s">
        <v>414</v>
      </c>
      <c r="D62" t="s">
        <v>416</v>
      </c>
      <c r="E62" t="s">
        <v>425</v>
      </c>
      <c r="F62" t="s">
        <v>431</v>
      </c>
      <c r="G62">
        <v>223.363</v>
      </c>
      <c r="H62">
        <v>69.968000000000004</v>
      </c>
      <c r="I62">
        <v>50</v>
      </c>
      <c r="J62">
        <v>466.45</v>
      </c>
      <c r="K62" t="s">
        <v>433</v>
      </c>
      <c r="L62" t="s">
        <v>435</v>
      </c>
      <c r="M62" t="s">
        <v>442</v>
      </c>
      <c r="N62" t="s">
        <v>445</v>
      </c>
      <c r="O62">
        <v>5</v>
      </c>
      <c r="P62">
        <v>39.42</v>
      </c>
    </row>
    <row r="63" spans="1:16">
      <c r="A63" t="s">
        <v>74</v>
      </c>
      <c r="B63">
        <v>73</v>
      </c>
      <c r="C63" t="s">
        <v>414</v>
      </c>
      <c r="D63" t="s">
        <v>417</v>
      </c>
      <c r="E63" t="s">
        <v>426</v>
      </c>
      <c r="F63" t="s">
        <v>429</v>
      </c>
      <c r="G63">
        <v>66.847999999999999</v>
      </c>
      <c r="H63">
        <v>79.772000000000006</v>
      </c>
      <c r="I63">
        <v>31</v>
      </c>
      <c r="J63">
        <v>2573.29</v>
      </c>
      <c r="K63" t="s">
        <v>433</v>
      </c>
      <c r="L63" t="s">
        <v>435</v>
      </c>
      <c r="M63" t="s">
        <v>439</v>
      </c>
      <c r="N63" t="s">
        <v>443</v>
      </c>
      <c r="O63">
        <v>8</v>
      </c>
      <c r="P63">
        <v>11.62</v>
      </c>
    </row>
    <row r="64" spans="1:16">
      <c r="A64" t="s">
        <v>75</v>
      </c>
      <c r="B64">
        <v>30</v>
      </c>
      <c r="C64" t="s">
        <v>414</v>
      </c>
      <c r="D64" t="s">
        <v>417</v>
      </c>
      <c r="E64" t="s">
        <v>425</v>
      </c>
      <c r="F64" t="s">
        <v>429</v>
      </c>
      <c r="G64">
        <v>38.656999999999996</v>
      </c>
      <c r="H64">
        <v>25.855</v>
      </c>
      <c r="I64">
        <v>40</v>
      </c>
      <c r="J64">
        <v>646.38</v>
      </c>
      <c r="K64" t="s">
        <v>432</v>
      </c>
      <c r="L64" t="s">
        <v>436</v>
      </c>
      <c r="M64" t="s">
        <v>439</v>
      </c>
      <c r="N64" t="s">
        <v>444</v>
      </c>
      <c r="O64">
        <v>10</v>
      </c>
      <c r="P64">
        <v>0.2</v>
      </c>
    </row>
    <row r="65" spans="1:16">
      <c r="A65" t="s">
        <v>76</v>
      </c>
      <c r="B65">
        <v>42</v>
      </c>
      <c r="C65" t="s">
        <v>414</v>
      </c>
      <c r="D65" t="s">
        <v>417</v>
      </c>
      <c r="E65" t="s">
        <v>424</v>
      </c>
      <c r="F65" t="s">
        <v>430</v>
      </c>
      <c r="G65">
        <v>216.904</v>
      </c>
      <c r="H65">
        <v>19.073</v>
      </c>
      <c r="I65">
        <v>15</v>
      </c>
      <c r="J65">
        <v>1271.53</v>
      </c>
      <c r="K65" t="s">
        <v>432</v>
      </c>
      <c r="L65" t="s">
        <v>435</v>
      </c>
      <c r="M65" t="s">
        <v>439</v>
      </c>
      <c r="N65" t="s">
        <v>444</v>
      </c>
      <c r="O65">
        <v>10</v>
      </c>
      <c r="P65">
        <v>15.05</v>
      </c>
    </row>
    <row r="66" spans="1:16">
      <c r="A66" t="s">
        <v>77</v>
      </c>
      <c r="B66">
        <v>72</v>
      </c>
      <c r="C66" t="s">
        <v>413</v>
      </c>
      <c r="D66" t="s">
        <v>423</v>
      </c>
      <c r="E66" t="s">
        <v>425</v>
      </c>
      <c r="F66" t="s">
        <v>430</v>
      </c>
      <c r="G66">
        <v>171.71899999999999</v>
      </c>
      <c r="H66">
        <v>26.183</v>
      </c>
      <c r="I66">
        <v>84</v>
      </c>
      <c r="J66">
        <v>311.7</v>
      </c>
      <c r="K66" t="s">
        <v>433</v>
      </c>
      <c r="L66" t="s">
        <v>434</v>
      </c>
      <c r="M66" t="s">
        <v>441</v>
      </c>
      <c r="N66" t="s">
        <v>444</v>
      </c>
      <c r="O66">
        <v>4</v>
      </c>
      <c r="P66">
        <v>34.89</v>
      </c>
    </row>
    <row r="67" spans="1:16">
      <c r="A67" t="s">
        <v>78</v>
      </c>
      <c r="B67">
        <v>44</v>
      </c>
      <c r="C67" t="s">
        <v>413</v>
      </c>
      <c r="D67" t="s">
        <v>420</v>
      </c>
      <c r="E67" t="s">
        <v>426</v>
      </c>
      <c r="F67" t="s">
        <v>429</v>
      </c>
      <c r="G67">
        <v>188.05799999999999</v>
      </c>
      <c r="H67">
        <v>13.362</v>
      </c>
      <c r="I67">
        <v>71</v>
      </c>
      <c r="J67">
        <v>188.2</v>
      </c>
      <c r="K67" t="s">
        <v>433</v>
      </c>
      <c r="L67" t="s">
        <v>437</v>
      </c>
      <c r="M67" t="s">
        <v>439</v>
      </c>
      <c r="N67" t="s">
        <v>443</v>
      </c>
      <c r="O67">
        <v>2</v>
      </c>
      <c r="P67">
        <v>47.36</v>
      </c>
    </row>
    <row r="68" spans="1:16">
      <c r="A68" t="s">
        <v>79</v>
      </c>
      <c r="B68">
        <v>56</v>
      </c>
      <c r="C68" t="s">
        <v>413</v>
      </c>
      <c r="D68" t="s">
        <v>418</v>
      </c>
      <c r="E68" t="s">
        <v>424</v>
      </c>
      <c r="F68" t="s">
        <v>429</v>
      </c>
      <c r="G68">
        <v>53.954000000000001</v>
      </c>
      <c r="H68">
        <v>68.884</v>
      </c>
      <c r="I68">
        <v>57</v>
      </c>
      <c r="J68">
        <v>542.39</v>
      </c>
      <c r="K68" t="s">
        <v>432</v>
      </c>
      <c r="L68" t="s">
        <v>434</v>
      </c>
      <c r="M68" t="s">
        <v>441</v>
      </c>
      <c r="N68" t="s">
        <v>443</v>
      </c>
      <c r="O68">
        <v>2</v>
      </c>
      <c r="P68">
        <v>6.65</v>
      </c>
    </row>
    <row r="69" spans="1:16">
      <c r="A69" t="s">
        <v>80</v>
      </c>
      <c r="B69">
        <v>62</v>
      </c>
      <c r="C69" t="s">
        <v>413</v>
      </c>
      <c r="D69" t="s">
        <v>423</v>
      </c>
      <c r="E69" t="s">
        <v>424</v>
      </c>
      <c r="F69" t="s">
        <v>429</v>
      </c>
      <c r="G69">
        <v>109.73099999999999</v>
      </c>
      <c r="H69">
        <v>9.5280000000000005</v>
      </c>
      <c r="I69">
        <v>8</v>
      </c>
      <c r="J69">
        <v>74.44</v>
      </c>
      <c r="K69" t="s">
        <v>432</v>
      </c>
      <c r="L69" t="s">
        <v>435</v>
      </c>
      <c r="M69" t="s">
        <v>440</v>
      </c>
      <c r="N69" t="s">
        <v>443</v>
      </c>
      <c r="O69">
        <v>10</v>
      </c>
      <c r="P69">
        <v>24.26</v>
      </c>
    </row>
    <row r="70" spans="1:16">
      <c r="A70" t="s">
        <v>81</v>
      </c>
      <c r="B70">
        <v>70</v>
      </c>
      <c r="C70" t="s">
        <v>414</v>
      </c>
      <c r="D70" t="s">
        <v>423</v>
      </c>
      <c r="E70" t="s">
        <v>424</v>
      </c>
      <c r="F70" t="s">
        <v>428</v>
      </c>
      <c r="G70">
        <v>41.42</v>
      </c>
      <c r="H70">
        <v>88.766999999999996</v>
      </c>
      <c r="I70">
        <v>96</v>
      </c>
      <c r="J70">
        <v>813.47</v>
      </c>
      <c r="K70" t="s">
        <v>432</v>
      </c>
      <c r="L70" t="s">
        <v>437</v>
      </c>
      <c r="M70" t="s">
        <v>442</v>
      </c>
      <c r="N70" t="s">
        <v>445</v>
      </c>
      <c r="O70">
        <v>1</v>
      </c>
      <c r="P70">
        <v>17.13</v>
      </c>
    </row>
    <row r="71" spans="1:16">
      <c r="A71" t="s">
        <v>82</v>
      </c>
      <c r="B71">
        <v>55</v>
      </c>
      <c r="C71" t="s">
        <v>414</v>
      </c>
      <c r="D71" t="s">
        <v>422</v>
      </c>
      <c r="E71" t="s">
        <v>426</v>
      </c>
      <c r="F71" t="s">
        <v>428</v>
      </c>
      <c r="G71">
        <v>50.243000000000002</v>
      </c>
      <c r="H71">
        <v>68.938000000000002</v>
      </c>
      <c r="I71">
        <v>57</v>
      </c>
      <c r="J71">
        <v>589.21</v>
      </c>
      <c r="K71" t="s">
        <v>433</v>
      </c>
      <c r="L71" t="s">
        <v>435</v>
      </c>
      <c r="M71" t="s">
        <v>440</v>
      </c>
      <c r="N71" t="s">
        <v>444</v>
      </c>
      <c r="O71">
        <v>1</v>
      </c>
      <c r="P71">
        <v>42.34</v>
      </c>
    </row>
    <row r="72" spans="1:16">
      <c r="A72" t="s">
        <v>83</v>
      </c>
      <c r="B72">
        <v>62</v>
      </c>
      <c r="C72" t="s">
        <v>414</v>
      </c>
      <c r="D72" t="s">
        <v>420</v>
      </c>
      <c r="E72" t="s">
        <v>426</v>
      </c>
      <c r="F72" t="s">
        <v>429</v>
      </c>
      <c r="G72">
        <v>156.77600000000001</v>
      </c>
      <c r="H72">
        <v>35.783000000000001</v>
      </c>
      <c r="I72">
        <v>19</v>
      </c>
      <c r="J72">
        <v>240.15</v>
      </c>
      <c r="K72" t="s">
        <v>432</v>
      </c>
      <c r="L72" t="s">
        <v>434</v>
      </c>
      <c r="M72" t="s">
        <v>441</v>
      </c>
      <c r="N72" t="s">
        <v>443</v>
      </c>
      <c r="O72">
        <v>7</v>
      </c>
      <c r="P72">
        <v>38.200000000000003</v>
      </c>
    </row>
    <row r="73" spans="1:16">
      <c r="A73" t="s">
        <v>84</v>
      </c>
      <c r="B73">
        <v>19</v>
      </c>
      <c r="C73" t="s">
        <v>414</v>
      </c>
      <c r="D73" t="s">
        <v>420</v>
      </c>
      <c r="E73" t="s">
        <v>424</v>
      </c>
      <c r="F73" t="s">
        <v>428</v>
      </c>
      <c r="G73">
        <v>61.29</v>
      </c>
      <c r="H73">
        <v>68.212000000000003</v>
      </c>
      <c r="I73">
        <v>48</v>
      </c>
      <c r="J73">
        <v>1421.08</v>
      </c>
      <c r="K73" t="s">
        <v>432</v>
      </c>
      <c r="L73" t="s">
        <v>435</v>
      </c>
      <c r="M73" t="s">
        <v>438</v>
      </c>
      <c r="N73" t="s">
        <v>443</v>
      </c>
      <c r="O73">
        <v>2</v>
      </c>
      <c r="P73">
        <v>1.19</v>
      </c>
    </row>
    <row r="74" spans="1:16">
      <c r="A74" t="s">
        <v>85</v>
      </c>
      <c r="B74">
        <v>50</v>
      </c>
      <c r="C74" t="s">
        <v>413</v>
      </c>
      <c r="D74" t="s">
        <v>418</v>
      </c>
      <c r="E74" t="s">
        <v>425</v>
      </c>
      <c r="F74" t="s">
        <v>429</v>
      </c>
      <c r="G74">
        <v>210.38300000000001</v>
      </c>
      <c r="H74">
        <v>55.284999999999997</v>
      </c>
      <c r="I74">
        <v>53</v>
      </c>
      <c r="J74">
        <v>1043.1099999999999</v>
      </c>
      <c r="K74" t="s">
        <v>433</v>
      </c>
      <c r="L74" t="s">
        <v>434</v>
      </c>
      <c r="M74" t="s">
        <v>440</v>
      </c>
      <c r="N74" t="s">
        <v>445</v>
      </c>
      <c r="O74">
        <v>6</v>
      </c>
      <c r="P74">
        <v>7.68</v>
      </c>
    </row>
    <row r="75" spans="1:16">
      <c r="A75" t="s">
        <v>86</v>
      </c>
      <c r="B75">
        <v>41</v>
      </c>
      <c r="C75" t="s">
        <v>413</v>
      </c>
      <c r="D75" t="s">
        <v>419</v>
      </c>
      <c r="E75" t="s">
        <v>424</v>
      </c>
      <c r="F75" t="s">
        <v>429</v>
      </c>
      <c r="G75">
        <v>38.069000000000003</v>
      </c>
      <c r="H75">
        <v>32.976999999999997</v>
      </c>
      <c r="I75">
        <v>44</v>
      </c>
      <c r="J75">
        <v>749.48</v>
      </c>
      <c r="K75" t="s">
        <v>432</v>
      </c>
      <c r="L75" t="s">
        <v>436</v>
      </c>
      <c r="M75" t="s">
        <v>440</v>
      </c>
      <c r="N75" t="s">
        <v>444</v>
      </c>
      <c r="O75">
        <v>4</v>
      </c>
      <c r="P75">
        <v>18.25</v>
      </c>
    </row>
    <row r="76" spans="1:16">
      <c r="A76" t="s">
        <v>87</v>
      </c>
      <c r="B76">
        <v>60</v>
      </c>
      <c r="C76" t="s">
        <v>414</v>
      </c>
      <c r="D76" t="s">
        <v>416</v>
      </c>
      <c r="E76" t="s">
        <v>425</v>
      </c>
      <c r="F76" t="s">
        <v>428</v>
      </c>
      <c r="G76">
        <v>37.618000000000002</v>
      </c>
      <c r="H76">
        <v>44.139000000000003</v>
      </c>
      <c r="I76">
        <v>80</v>
      </c>
      <c r="J76">
        <v>1176.74</v>
      </c>
      <c r="K76" t="s">
        <v>432</v>
      </c>
      <c r="L76" t="s">
        <v>436</v>
      </c>
      <c r="M76" t="s">
        <v>438</v>
      </c>
      <c r="N76" t="s">
        <v>443</v>
      </c>
      <c r="O76">
        <v>5</v>
      </c>
      <c r="P76">
        <v>29.7</v>
      </c>
    </row>
    <row r="77" spans="1:16">
      <c r="A77" t="s">
        <v>88</v>
      </c>
      <c r="B77">
        <v>34</v>
      </c>
      <c r="C77" t="s">
        <v>414</v>
      </c>
      <c r="D77" t="s">
        <v>416</v>
      </c>
      <c r="E77" t="s">
        <v>425</v>
      </c>
      <c r="F77" t="s">
        <v>431</v>
      </c>
      <c r="G77">
        <v>230.821</v>
      </c>
      <c r="H77">
        <v>24.19</v>
      </c>
      <c r="I77">
        <v>20</v>
      </c>
      <c r="J77">
        <v>4709.5</v>
      </c>
      <c r="K77" t="s">
        <v>432</v>
      </c>
      <c r="L77" t="s">
        <v>435</v>
      </c>
      <c r="M77" t="s">
        <v>439</v>
      </c>
      <c r="N77" t="s">
        <v>444</v>
      </c>
      <c r="O77">
        <v>3</v>
      </c>
      <c r="P77">
        <v>30.29</v>
      </c>
    </row>
    <row r="78" spans="1:16">
      <c r="A78" t="s">
        <v>89</v>
      </c>
      <c r="B78">
        <v>48</v>
      </c>
      <c r="C78" t="s">
        <v>415</v>
      </c>
      <c r="D78" t="s">
        <v>416</v>
      </c>
      <c r="E78" t="s">
        <v>427</v>
      </c>
      <c r="F78" t="s">
        <v>429</v>
      </c>
      <c r="G78">
        <v>231.83600000000001</v>
      </c>
      <c r="H78">
        <v>11.8</v>
      </c>
      <c r="I78">
        <v>38</v>
      </c>
      <c r="J78">
        <v>310.52999999999997</v>
      </c>
      <c r="K78" t="s">
        <v>433</v>
      </c>
      <c r="L78" t="s">
        <v>435</v>
      </c>
      <c r="M78" t="s">
        <v>442</v>
      </c>
      <c r="N78" t="s">
        <v>443</v>
      </c>
      <c r="O78">
        <v>9</v>
      </c>
      <c r="P78">
        <v>33.82</v>
      </c>
    </row>
    <row r="79" spans="1:16">
      <c r="A79" t="s">
        <v>90</v>
      </c>
      <c r="B79">
        <v>51</v>
      </c>
      <c r="C79" t="s">
        <v>414</v>
      </c>
      <c r="D79" t="s">
        <v>421</v>
      </c>
      <c r="E79" t="s">
        <v>425</v>
      </c>
      <c r="F79" t="s">
        <v>431</v>
      </c>
      <c r="G79">
        <v>30.091000000000001</v>
      </c>
      <c r="H79">
        <v>41.859000000000002</v>
      </c>
      <c r="I79">
        <v>36</v>
      </c>
      <c r="J79">
        <v>307.79000000000002</v>
      </c>
      <c r="K79" t="s">
        <v>433</v>
      </c>
      <c r="L79" t="s">
        <v>435</v>
      </c>
      <c r="M79" t="s">
        <v>438</v>
      </c>
      <c r="N79" t="s">
        <v>443</v>
      </c>
      <c r="O79">
        <v>7</v>
      </c>
      <c r="P79">
        <v>26.28</v>
      </c>
    </row>
    <row r="80" spans="1:16">
      <c r="A80" t="s">
        <v>91</v>
      </c>
      <c r="B80">
        <v>54</v>
      </c>
      <c r="C80" t="s">
        <v>413</v>
      </c>
      <c r="D80" t="s">
        <v>423</v>
      </c>
      <c r="E80" t="s">
        <v>425</v>
      </c>
      <c r="F80" t="s">
        <v>431</v>
      </c>
      <c r="G80">
        <v>109.83</v>
      </c>
      <c r="H80">
        <v>35.222999999999999</v>
      </c>
      <c r="I80">
        <v>41</v>
      </c>
      <c r="J80">
        <v>859.1</v>
      </c>
      <c r="K80" t="s">
        <v>432</v>
      </c>
      <c r="L80" t="s">
        <v>435</v>
      </c>
      <c r="M80" t="s">
        <v>440</v>
      </c>
      <c r="N80" t="s">
        <v>445</v>
      </c>
      <c r="O80">
        <v>9</v>
      </c>
      <c r="P80">
        <v>49.46</v>
      </c>
    </row>
    <row r="81" spans="1:16">
      <c r="A81" t="s">
        <v>92</v>
      </c>
      <c r="B81">
        <v>19</v>
      </c>
      <c r="C81" t="s">
        <v>415</v>
      </c>
      <c r="D81" t="s">
        <v>420</v>
      </c>
      <c r="E81" t="s">
        <v>426</v>
      </c>
      <c r="F81" t="s">
        <v>429</v>
      </c>
      <c r="G81">
        <v>49.853000000000002</v>
      </c>
      <c r="H81">
        <v>58.381</v>
      </c>
      <c r="I81">
        <v>83</v>
      </c>
      <c r="J81">
        <v>703.39</v>
      </c>
      <c r="K81" t="s">
        <v>433</v>
      </c>
      <c r="L81" t="s">
        <v>436</v>
      </c>
      <c r="M81" t="s">
        <v>442</v>
      </c>
      <c r="N81" t="s">
        <v>444</v>
      </c>
      <c r="O81">
        <v>10</v>
      </c>
      <c r="P81">
        <v>39.4</v>
      </c>
    </row>
    <row r="82" spans="1:16">
      <c r="A82" t="s">
        <v>93</v>
      </c>
      <c r="B82">
        <v>27</v>
      </c>
      <c r="C82" t="s">
        <v>414</v>
      </c>
      <c r="D82" t="s">
        <v>416</v>
      </c>
      <c r="E82" t="s">
        <v>424</v>
      </c>
      <c r="F82" t="s">
        <v>431</v>
      </c>
      <c r="G82">
        <v>143.62</v>
      </c>
      <c r="H82">
        <v>33.25</v>
      </c>
      <c r="I82">
        <v>74</v>
      </c>
      <c r="J82">
        <v>1530.41</v>
      </c>
      <c r="K82" t="s">
        <v>433</v>
      </c>
      <c r="L82" t="s">
        <v>434</v>
      </c>
      <c r="M82" t="s">
        <v>442</v>
      </c>
      <c r="N82" t="s">
        <v>444</v>
      </c>
      <c r="O82">
        <v>6</v>
      </c>
      <c r="P82">
        <v>16.68</v>
      </c>
    </row>
    <row r="83" spans="1:16">
      <c r="A83" t="s">
        <v>94</v>
      </c>
      <c r="B83">
        <v>41</v>
      </c>
      <c r="C83" t="s">
        <v>414</v>
      </c>
      <c r="D83" t="s">
        <v>422</v>
      </c>
      <c r="E83" t="s">
        <v>425</v>
      </c>
      <c r="F83" t="s">
        <v>431</v>
      </c>
      <c r="G83">
        <v>65.734999999999999</v>
      </c>
      <c r="H83">
        <v>70.576999999999998</v>
      </c>
      <c r="I83">
        <v>99</v>
      </c>
      <c r="J83">
        <v>547.11</v>
      </c>
      <c r="K83" t="s">
        <v>433</v>
      </c>
      <c r="L83" t="s">
        <v>435</v>
      </c>
      <c r="M83" t="s">
        <v>438</v>
      </c>
      <c r="N83" t="s">
        <v>443</v>
      </c>
      <c r="O83">
        <v>10</v>
      </c>
      <c r="P83">
        <v>44.69</v>
      </c>
    </row>
    <row r="84" spans="1:16">
      <c r="A84" t="s">
        <v>95</v>
      </c>
      <c r="B84">
        <v>58</v>
      </c>
      <c r="C84" t="s">
        <v>413</v>
      </c>
      <c r="D84" t="s">
        <v>421</v>
      </c>
      <c r="E84" t="s">
        <v>425</v>
      </c>
      <c r="F84" t="s">
        <v>431</v>
      </c>
      <c r="G84">
        <v>78.692999999999998</v>
      </c>
      <c r="H84">
        <v>37.936999999999998</v>
      </c>
      <c r="I84">
        <v>44</v>
      </c>
      <c r="J84">
        <v>263.45</v>
      </c>
      <c r="K84" t="s">
        <v>432</v>
      </c>
      <c r="L84" t="s">
        <v>435</v>
      </c>
      <c r="M84" t="s">
        <v>439</v>
      </c>
      <c r="N84" t="s">
        <v>444</v>
      </c>
      <c r="O84">
        <v>10</v>
      </c>
      <c r="P84">
        <v>40.9</v>
      </c>
    </row>
    <row r="85" spans="1:16">
      <c r="A85" t="s">
        <v>96</v>
      </c>
      <c r="B85">
        <v>18</v>
      </c>
      <c r="C85" t="s">
        <v>413</v>
      </c>
      <c r="D85" t="s">
        <v>423</v>
      </c>
      <c r="E85" t="s">
        <v>424</v>
      </c>
      <c r="F85" t="s">
        <v>430</v>
      </c>
      <c r="G85">
        <v>46.521999999999998</v>
      </c>
      <c r="H85">
        <v>83.709000000000003</v>
      </c>
      <c r="I85">
        <v>45</v>
      </c>
      <c r="J85">
        <v>1860.2</v>
      </c>
      <c r="K85" t="s">
        <v>433</v>
      </c>
      <c r="L85" t="s">
        <v>435</v>
      </c>
      <c r="M85" t="s">
        <v>441</v>
      </c>
      <c r="N85" t="s">
        <v>444</v>
      </c>
      <c r="O85">
        <v>6</v>
      </c>
      <c r="P85">
        <v>24.44</v>
      </c>
    </row>
    <row r="86" spans="1:16">
      <c r="A86" t="s">
        <v>97</v>
      </c>
      <c r="B86">
        <v>21</v>
      </c>
      <c r="C86" t="s">
        <v>414</v>
      </c>
      <c r="D86" t="s">
        <v>420</v>
      </c>
      <c r="E86" t="s">
        <v>427</v>
      </c>
      <c r="F86" t="s">
        <v>431</v>
      </c>
      <c r="G86">
        <v>233.244</v>
      </c>
      <c r="H86">
        <v>54.889000000000003</v>
      </c>
      <c r="I86">
        <v>33</v>
      </c>
      <c r="J86">
        <v>1663.3</v>
      </c>
      <c r="K86" t="s">
        <v>433</v>
      </c>
      <c r="L86" t="s">
        <v>436</v>
      </c>
      <c r="M86" t="s">
        <v>441</v>
      </c>
      <c r="N86" t="s">
        <v>444</v>
      </c>
      <c r="O86">
        <v>3</v>
      </c>
      <c r="P86">
        <v>14.32</v>
      </c>
    </row>
    <row r="87" spans="1:16">
      <c r="A87" t="s">
        <v>98</v>
      </c>
      <c r="B87">
        <v>38</v>
      </c>
      <c r="C87" t="s">
        <v>413</v>
      </c>
      <c r="D87" t="s">
        <v>418</v>
      </c>
      <c r="E87" t="s">
        <v>424</v>
      </c>
      <c r="F87" t="s">
        <v>428</v>
      </c>
      <c r="G87">
        <v>152.833</v>
      </c>
      <c r="H87">
        <v>59.725999999999999</v>
      </c>
      <c r="I87">
        <v>67</v>
      </c>
      <c r="J87">
        <v>1025.48</v>
      </c>
      <c r="K87" t="s">
        <v>433</v>
      </c>
      <c r="L87" t="s">
        <v>436</v>
      </c>
      <c r="M87" t="s">
        <v>438</v>
      </c>
      <c r="N87" t="s">
        <v>444</v>
      </c>
      <c r="O87">
        <v>3</v>
      </c>
      <c r="P87">
        <v>6.77</v>
      </c>
    </row>
    <row r="88" spans="1:16">
      <c r="A88" t="s">
        <v>99</v>
      </c>
      <c r="B88">
        <v>50</v>
      </c>
      <c r="C88" t="s">
        <v>413</v>
      </c>
      <c r="D88" t="s">
        <v>419</v>
      </c>
      <c r="E88" t="s">
        <v>426</v>
      </c>
      <c r="F88" t="s">
        <v>431</v>
      </c>
      <c r="G88">
        <v>96.225999999999999</v>
      </c>
      <c r="H88">
        <v>32.404000000000003</v>
      </c>
      <c r="I88">
        <v>18</v>
      </c>
      <c r="J88">
        <v>274.61</v>
      </c>
      <c r="K88" t="s">
        <v>433</v>
      </c>
      <c r="L88" t="s">
        <v>435</v>
      </c>
      <c r="M88" t="s">
        <v>441</v>
      </c>
      <c r="N88" t="s">
        <v>444</v>
      </c>
      <c r="O88">
        <v>5</v>
      </c>
      <c r="P88">
        <v>27.98</v>
      </c>
    </row>
    <row r="89" spans="1:16">
      <c r="A89" t="s">
        <v>100</v>
      </c>
      <c r="B89">
        <v>47</v>
      </c>
      <c r="C89" t="s">
        <v>414</v>
      </c>
      <c r="D89" t="s">
        <v>422</v>
      </c>
      <c r="E89" t="s">
        <v>427</v>
      </c>
      <c r="F89" t="s">
        <v>429</v>
      </c>
      <c r="G89">
        <v>221.05699999999999</v>
      </c>
      <c r="H89">
        <v>67.697000000000003</v>
      </c>
      <c r="I89">
        <v>38</v>
      </c>
      <c r="J89">
        <v>780.41</v>
      </c>
      <c r="K89" t="s">
        <v>433</v>
      </c>
      <c r="L89" t="s">
        <v>435</v>
      </c>
      <c r="M89" t="s">
        <v>439</v>
      </c>
      <c r="N89" t="s">
        <v>443</v>
      </c>
      <c r="O89">
        <v>2</v>
      </c>
      <c r="P89">
        <v>34.700000000000003</v>
      </c>
    </row>
    <row r="90" spans="1:16">
      <c r="A90" t="s">
        <v>101</v>
      </c>
      <c r="B90">
        <v>27</v>
      </c>
      <c r="C90" t="s">
        <v>414</v>
      </c>
      <c r="D90" t="s">
        <v>419</v>
      </c>
      <c r="E90" t="s">
        <v>425</v>
      </c>
      <c r="F90" t="s">
        <v>429</v>
      </c>
      <c r="G90">
        <v>189.149</v>
      </c>
      <c r="H90">
        <v>73.944999999999993</v>
      </c>
      <c r="I90">
        <v>90</v>
      </c>
      <c r="J90">
        <v>1266.06</v>
      </c>
      <c r="K90" t="s">
        <v>432</v>
      </c>
      <c r="L90" t="s">
        <v>434</v>
      </c>
      <c r="M90" t="s">
        <v>440</v>
      </c>
      <c r="N90" t="s">
        <v>444</v>
      </c>
      <c r="O90">
        <v>1</v>
      </c>
      <c r="P90">
        <v>17.45</v>
      </c>
    </row>
    <row r="91" spans="1:16">
      <c r="A91" t="s">
        <v>102</v>
      </c>
      <c r="B91">
        <v>58</v>
      </c>
      <c r="C91" t="s">
        <v>414</v>
      </c>
      <c r="D91" t="s">
        <v>420</v>
      </c>
      <c r="E91" t="s">
        <v>424</v>
      </c>
      <c r="F91" t="s">
        <v>428</v>
      </c>
      <c r="G91">
        <v>114.294</v>
      </c>
      <c r="H91">
        <v>43.927999999999997</v>
      </c>
      <c r="I91">
        <v>49</v>
      </c>
      <c r="J91">
        <v>294.82</v>
      </c>
      <c r="K91" t="s">
        <v>433</v>
      </c>
      <c r="L91" t="s">
        <v>435</v>
      </c>
      <c r="M91" t="s">
        <v>441</v>
      </c>
      <c r="N91" t="s">
        <v>444</v>
      </c>
      <c r="O91">
        <v>6</v>
      </c>
      <c r="P91">
        <v>0.28000000000000003</v>
      </c>
    </row>
    <row r="92" spans="1:16">
      <c r="A92" t="s">
        <v>103</v>
      </c>
      <c r="B92">
        <v>52</v>
      </c>
      <c r="C92" t="s">
        <v>413</v>
      </c>
      <c r="D92" t="s">
        <v>423</v>
      </c>
      <c r="E92" t="s">
        <v>424</v>
      </c>
      <c r="F92" t="s">
        <v>429</v>
      </c>
      <c r="G92">
        <v>102.874</v>
      </c>
      <c r="H92">
        <v>61.006</v>
      </c>
      <c r="I92">
        <v>63</v>
      </c>
      <c r="J92">
        <v>968.35</v>
      </c>
      <c r="K92" t="s">
        <v>433</v>
      </c>
      <c r="L92" t="s">
        <v>435</v>
      </c>
      <c r="M92" t="s">
        <v>440</v>
      </c>
      <c r="N92" t="s">
        <v>443</v>
      </c>
      <c r="O92">
        <v>5</v>
      </c>
      <c r="P92">
        <v>6.28</v>
      </c>
    </row>
    <row r="93" spans="1:16">
      <c r="A93" t="s">
        <v>104</v>
      </c>
      <c r="B93">
        <v>51</v>
      </c>
      <c r="C93" t="s">
        <v>413</v>
      </c>
      <c r="D93" t="s">
        <v>422</v>
      </c>
      <c r="E93" t="s">
        <v>425</v>
      </c>
      <c r="F93" t="s">
        <v>431</v>
      </c>
      <c r="G93">
        <v>169.529</v>
      </c>
      <c r="H93">
        <v>35.479999999999997</v>
      </c>
      <c r="I93">
        <v>8</v>
      </c>
      <c r="J93">
        <v>4435</v>
      </c>
      <c r="K93" t="s">
        <v>433</v>
      </c>
      <c r="L93" t="s">
        <v>436</v>
      </c>
      <c r="M93" t="s">
        <v>440</v>
      </c>
      <c r="N93" t="s">
        <v>445</v>
      </c>
      <c r="O93">
        <v>10</v>
      </c>
      <c r="P93">
        <v>31.27</v>
      </c>
    </row>
    <row r="94" spans="1:16">
      <c r="A94" t="s">
        <v>105</v>
      </c>
      <c r="B94">
        <v>75</v>
      </c>
      <c r="C94" t="s">
        <v>413</v>
      </c>
      <c r="D94" t="s">
        <v>416</v>
      </c>
      <c r="E94" t="s">
        <v>427</v>
      </c>
      <c r="F94" t="s">
        <v>428</v>
      </c>
      <c r="G94">
        <v>84.978999999999999</v>
      </c>
      <c r="H94">
        <v>68.980999999999995</v>
      </c>
      <c r="I94">
        <v>49</v>
      </c>
      <c r="J94">
        <v>2428.1799999999998</v>
      </c>
      <c r="K94" t="s">
        <v>433</v>
      </c>
      <c r="L94" t="s">
        <v>436</v>
      </c>
      <c r="M94" t="s">
        <v>439</v>
      </c>
      <c r="N94" t="s">
        <v>444</v>
      </c>
      <c r="O94">
        <v>6</v>
      </c>
      <c r="P94">
        <v>32.9</v>
      </c>
    </row>
    <row r="95" spans="1:16">
      <c r="A95" t="s">
        <v>106</v>
      </c>
      <c r="B95">
        <v>45</v>
      </c>
      <c r="C95" t="s">
        <v>413</v>
      </c>
      <c r="D95" t="s">
        <v>418</v>
      </c>
      <c r="E95" t="s">
        <v>424</v>
      </c>
      <c r="F95" t="s">
        <v>428</v>
      </c>
      <c r="G95">
        <v>210.44300000000001</v>
      </c>
      <c r="H95">
        <v>43.146000000000001</v>
      </c>
      <c r="I95">
        <v>20</v>
      </c>
      <c r="J95">
        <v>2157.3000000000002</v>
      </c>
      <c r="K95" t="s">
        <v>433</v>
      </c>
      <c r="L95" t="s">
        <v>434</v>
      </c>
      <c r="M95" t="s">
        <v>442</v>
      </c>
      <c r="N95" t="s">
        <v>445</v>
      </c>
      <c r="O95">
        <v>2</v>
      </c>
      <c r="P95">
        <v>28.59</v>
      </c>
    </row>
    <row r="96" spans="1:16">
      <c r="A96" t="s">
        <v>107</v>
      </c>
      <c r="B96">
        <v>74</v>
      </c>
      <c r="C96" t="s">
        <v>413</v>
      </c>
      <c r="D96" t="s">
        <v>422</v>
      </c>
      <c r="E96" t="s">
        <v>424</v>
      </c>
      <c r="F96" t="s">
        <v>430</v>
      </c>
      <c r="G96">
        <v>107.73</v>
      </c>
      <c r="H96">
        <v>78.716999999999999</v>
      </c>
      <c r="I96">
        <v>89</v>
      </c>
      <c r="J96">
        <v>884.46</v>
      </c>
      <c r="K96" t="s">
        <v>433</v>
      </c>
      <c r="L96" t="s">
        <v>434</v>
      </c>
      <c r="M96" t="s">
        <v>439</v>
      </c>
      <c r="N96" t="s">
        <v>443</v>
      </c>
      <c r="O96">
        <v>9</v>
      </c>
      <c r="P96">
        <v>26.25</v>
      </c>
    </row>
    <row r="97" spans="1:16">
      <c r="A97" t="s">
        <v>108</v>
      </c>
      <c r="B97">
        <v>22</v>
      </c>
      <c r="C97" t="s">
        <v>414</v>
      </c>
      <c r="D97" t="s">
        <v>417</v>
      </c>
      <c r="E97" t="s">
        <v>425</v>
      </c>
      <c r="F97" t="s">
        <v>429</v>
      </c>
      <c r="G97">
        <v>165.77699999999999</v>
      </c>
      <c r="H97">
        <v>25.960999999999999</v>
      </c>
      <c r="I97">
        <v>83</v>
      </c>
      <c r="J97">
        <v>312.77999999999997</v>
      </c>
      <c r="K97" t="s">
        <v>432</v>
      </c>
      <c r="L97" t="s">
        <v>436</v>
      </c>
      <c r="M97" t="s">
        <v>440</v>
      </c>
      <c r="N97" t="s">
        <v>445</v>
      </c>
      <c r="O97">
        <v>9</v>
      </c>
      <c r="P97">
        <v>40.65</v>
      </c>
    </row>
    <row r="98" spans="1:16">
      <c r="A98" t="s">
        <v>109</v>
      </c>
      <c r="B98">
        <v>58</v>
      </c>
      <c r="C98" t="s">
        <v>414</v>
      </c>
      <c r="D98" t="s">
        <v>423</v>
      </c>
      <c r="E98" t="s">
        <v>424</v>
      </c>
      <c r="F98" t="s">
        <v>429</v>
      </c>
      <c r="G98">
        <v>109.21899999999999</v>
      </c>
      <c r="H98">
        <v>84.213999999999999</v>
      </c>
      <c r="I98">
        <v>26</v>
      </c>
      <c r="J98">
        <v>3239</v>
      </c>
      <c r="K98" t="s">
        <v>432</v>
      </c>
      <c r="L98" t="s">
        <v>435</v>
      </c>
      <c r="M98" t="s">
        <v>441</v>
      </c>
      <c r="N98" t="s">
        <v>445</v>
      </c>
      <c r="O98">
        <v>8</v>
      </c>
      <c r="P98">
        <v>38.22</v>
      </c>
    </row>
    <row r="99" spans="1:16">
      <c r="A99" t="s">
        <v>110</v>
      </c>
      <c r="B99">
        <v>23</v>
      </c>
      <c r="C99" t="s">
        <v>414</v>
      </c>
      <c r="D99" t="s">
        <v>423</v>
      </c>
      <c r="E99" t="s">
        <v>425</v>
      </c>
      <c r="F99" t="s">
        <v>430</v>
      </c>
      <c r="G99">
        <v>143.15299999999999</v>
      </c>
      <c r="H99">
        <v>44.106999999999999</v>
      </c>
      <c r="I99">
        <v>42</v>
      </c>
      <c r="J99">
        <v>592.29999999999995</v>
      </c>
      <c r="K99" t="s">
        <v>432</v>
      </c>
      <c r="L99" t="s">
        <v>436</v>
      </c>
      <c r="M99" t="s">
        <v>438</v>
      </c>
      <c r="N99" t="s">
        <v>443</v>
      </c>
      <c r="O99">
        <v>2</v>
      </c>
      <c r="P99">
        <v>28.47</v>
      </c>
    </row>
    <row r="100" spans="1:16">
      <c r="A100" t="s">
        <v>111</v>
      </c>
      <c r="B100">
        <v>55</v>
      </c>
      <c r="C100" t="s">
        <v>414</v>
      </c>
      <c r="D100" t="s">
        <v>422</v>
      </c>
      <c r="E100" t="s">
        <v>425</v>
      </c>
      <c r="F100" t="s">
        <v>429</v>
      </c>
      <c r="G100">
        <v>24.047000000000001</v>
      </c>
      <c r="H100">
        <v>66.272000000000006</v>
      </c>
      <c r="I100">
        <v>43</v>
      </c>
      <c r="J100">
        <v>2471.44</v>
      </c>
      <c r="K100" t="s">
        <v>433</v>
      </c>
      <c r="L100" t="s">
        <v>437</v>
      </c>
      <c r="M100" t="s">
        <v>440</v>
      </c>
      <c r="N100" t="s">
        <v>444</v>
      </c>
      <c r="O100">
        <v>9</v>
      </c>
      <c r="P100">
        <v>40.64</v>
      </c>
    </row>
    <row r="101" spans="1:16">
      <c r="A101" t="s">
        <v>112</v>
      </c>
      <c r="B101">
        <v>38</v>
      </c>
      <c r="C101" t="s">
        <v>413</v>
      </c>
      <c r="D101" t="s">
        <v>420</v>
      </c>
      <c r="E101" t="s">
        <v>424</v>
      </c>
      <c r="F101" t="s">
        <v>431</v>
      </c>
      <c r="G101">
        <v>177.928</v>
      </c>
      <c r="H101">
        <v>61.655999999999999</v>
      </c>
      <c r="I101">
        <v>46</v>
      </c>
      <c r="J101">
        <v>422.3</v>
      </c>
      <c r="K101" t="s">
        <v>433</v>
      </c>
      <c r="L101" t="s">
        <v>435</v>
      </c>
      <c r="M101" t="s">
        <v>438</v>
      </c>
      <c r="N101" t="s">
        <v>445</v>
      </c>
      <c r="O101">
        <v>5</v>
      </c>
      <c r="P101">
        <v>14.32</v>
      </c>
    </row>
    <row r="102" spans="1:16">
      <c r="A102" t="s">
        <v>113</v>
      </c>
      <c r="B102">
        <v>18</v>
      </c>
      <c r="C102" t="s">
        <v>414</v>
      </c>
      <c r="D102" t="s">
        <v>417</v>
      </c>
      <c r="E102" t="s">
        <v>425</v>
      </c>
      <c r="F102" t="s">
        <v>429</v>
      </c>
      <c r="G102">
        <v>163.55000000000001</v>
      </c>
      <c r="H102">
        <v>62.750999999999998</v>
      </c>
      <c r="I102">
        <v>30</v>
      </c>
      <c r="J102">
        <v>482.7</v>
      </c>
      <c r="K102" t="s">
        <v>433</v>
      </c>
      <c r="L102" t="s">
        <v>437</v>
      </c>
      <c r="M102" t="s">
        <v>439</v>
      </c>
      <c r="N102" t="s">
        <v>443</v>
      </c>
      <c r="O102">
        <v>4</v>
      </c>
      <c r="P102">
        <v>42.2</v>
      </c>
    </row>
    <row r="103" spans="1:16">
      <c r="A103" t="s">
        <v>114</v>
      </c>
      <c r="B103">
        <v>24</v>
      </c>
      <c r="C103" t="s">
        <v>414</v>
      </c>
      <c r="D103" t="s">
        <v>423</v>
      </c>
      <c r="E103" t="s">
        <v>425</v>
      </c>
      <c r="F103" t="s">
        <v>428</v>
      </c>
      <c r="G103">
        <v>197.23500000000001</v>
      </c>
      <c r="H103">
        <v>67.902000000000001</v>
      </c>
      <c r="I103">
        <v>32</v>
      </c>
      <c r="J103">
        <v>2121.94</v>
      </c>
      <c r="K103" t="s">
        <v>432</v>
      </c>
      <c r="L103" t="s">
        <v>436</v>
      </c>
      <c r="M103" t="s">
        <v>441</v>
      </c>
      <c r="N103" t="s">
        <v>443</v>
      </c>
      <c r="O103">
        <v>3</v>
      </c>
      <c r="P103">
        <v>35.36</v>
      </c>
    </row>
    <row r="104" spans="1:16">
      <c r="A104" t="s">
        <v>115</v>
      </c>
      <c r="B104">
        <v>68</v>
      </c>
      <c r="C104" t="s">
        <v>413</v>
      </c>
      <c r="D104" t="s">
        <v>422</v>
      </c>
      <c r="E104" t="s">
        <v>426</v>
      </c>
      <c r="F104" t="s">
        <v>430</v>
      </c>
      <c r="G104">
        <v>185.613</v>
      </c>
      <c r="H104">
        <v>26.847999999999999</v>
      </c>
      <c r="I104">
        <v>6</v>
      </c>
      <c r="J104">
        <v>4474.67</v>
      </c>
      <c r="K104" t="s">
        <v>432</v>
      </c>
      <c r="L104" t="s">
        <v>435</v>
      </c>
      <c r="M104" t="s">
        <v>438</v>
      </c>
      <c r="N104" t="s">
        <v>444</v>
      </c>
      <c r="O104">
        <v>3</v>
      </c>
      <c r="P104">
        <v>17.98</v>
      </c>
    </row>
    <row r="105" spans="1:16">
      <c r="A105" t="s">
        <v>116</v>
      </c>
      <c r="B105">
        <v>51</v>
      </c>
      <c r="C105" t="s">
        <v>414</v>
      </c>
      <c r="D105" t="s">
        <v>419</v>
      </c>
      <c r="E105" t="s">
        <v>426</v>
      </c>
      <c r="F105" t="s">
        <v>429</v>
      </c>
      <c r="G105">
        <v>138.477</v>
      </c>
      <c r="H105">
        <v>70.77</v>
      </c>
      <c r="I105">
        <v>85</v>
      </c>
      <c r="J105">
        <v>832.59</v>
      </c>
      <c r="K105" t="s">
        <v>432</v>
      </c>
      <c r="L105" t="s">
        <v>435</v>
      </c>
      <c r="M105" t="s">
        <v>438</v>
      </c>
      <c r="N105" t="s">
        <v>443</v>
      </c>
      <c r="O105">
        <v>1</v>
      </c>
      <c r="P105">
        <v>26.27</v>
      </c>
    </row>
    <row r="106" spans="1:16">
      <c r="A106" t="s">
        <v>117</v>
      </c>
      <c r="B106">
        <v>49</v>
      </c>
      <c r="C106" t="s">
        <v>413</v>
      </c>
      <c r="D106" t="s">
        <v>419</v>
      </c>
      <c r="E106" t="s">
        <v>424</v>
      </c>
      <c r="F106" t="s">
        <v>429</v>
      </c>
      <c r="G106">
        <v>99.971000000000004</v>
      </c>
      <c r="H106">
        <v>60.732999999999997</v>
      </c>
      <c r="I106">
        <v>78</v>
      </c>
      <c r="J106">
        <v>778.63</v>
      </c>
      <c r="K106" t="s">
        <v>432</v>
      </c>
      <c r="L106" t="s">
        <v>435</v>
      </c>
      <c r="M106" t="s">
        <v>439</v>
      </c>
      <c r="N106" t="s">
        <v>445</v>
      </c>
      <c r="O106">
        <v>1</v>
      </c>
      <c r="P106">
        <v>25.51</v>
      </c>
    </row>
    <row r="107" spans="1:16">
      <c r="A107" t="s">
        <v>118</v>
      </c>
      <c r="B107">
        <v>56</v>
      </c>
      <c r="C107" t="s">
        <v>414</v>
      </c>
      <c r="D107" t="s">
        <v>421</v>
      </c>
      <c r="E107" t="s">
        <v>425</v>
      </c>
      <c r="F107" t="s">
        <v>428</v>
      </c>
      <c r="G107">
        <v>115.19499999999999</v>
      </c>
      <c r="H107">
        <v>40.055</v>
      </c>
      <c r="I107">
        <v>42</v>
      </c>
      <c r="J107">
        <v>953.69</v>
      </c>
      <c r="K107" t="s">
        <v>433</v>
      </c>
      <c r="L107" t="s">
        <v>435</v>
      </c>
      <c r="M107" t="s">
        <v>442</v>
      </c>
      <c r="N107" t="s">
        <v>445</v>
      </c>
      <c r="O107">
        <v>5</v>
      </c>
      <c r="P107">
        <v>36.020000000000003</v>
      </c>
    </row>
    <row r="108" spans="1:16">
      <c r="A108" t="s">
        <v>119</v>
      </c>
      <c r="B108">
        <v>57</v>
      </c>
      <c r="C108" t="s">
        <v>414</v>
      </c>
      <c r="D108" t="s">
        <v>421</v>
      </c>
      <c r="E108" t="s">
        <v>425</v>
      </c>
      <c r="F108" t="s">
        <v>429</v>
      </c>
      <c r="G108">
        <v>202.62100000000001</v>
      </c>
      <c r="H108">
        <v>105.56</v>
      </c>
      <c r="I108">
        <v>42</v>
      </c>
      <c r="J108">
        <v>2513.33</v>
      </c>
      <c r="K108" t="s">
        <v>432</v>
      </c>
      <c r="L108" t="s">
        <v>437</v>
      </c>
      <c r="M108" t="s">
        <v>438</v>
      </c>
      <c r="N108" t="s">
        <v>443</v>
      </c>
      <c r="O108">
        <v>10</v>
      </c>
      <c r="P108">
        <v>35.54</v>
      </c>
    </row>
    <row r="109" spans="1:16">
      <c r="A109" t="s">
        <v>120</v>
      </c>
      <c r="B109">
        <v>50</v>
      </c>
      <c r="C109" t="s">
        <v>413</v>
      </c>
      <c r="D109" t="s">
        <v>421</v>
      </c>
      <c r="E109" t="s">
        <v>426</v>
      </c>
      <c r="F109" t="s">
        <v>429</v>
      </c>
      <c r="G109">
        <v>74.245000000000005</v>
      </c>
      <c r="H109">
        <v>76.233000000000004</v>
      </c>
      <c r="I109">
        <v>5</v>
      </c>
      <c r="J109">
        <v>15246.6</v>
      </c>
      <c r="K109" t="s">
        <v>432</v>
      </c>
      <c r="L109" t="s">
        <v>435</v>
      </c>
      <c r="M109" t="s">
        <v>442</v>
      </c>
      <c r="N109" t="s">
        <v>444</v>
      </c>
      <c r="O109">
        <v>10</v>
      </c>
      <c r="P109">
        <v>30.81</v>
      </c>
    </row>
    <row r="110" spans="1:16">
      <c r="A110" t="s">
        <v>121</v>
      </c>
      <c r="B110">
        <v>51</v>
      </c>
      <c r="C110" t="s">
        <v>413</v>
      </c>
      <c r="D110" t="s">
        <v>416</v>
      </c>
      <c r="E110" t="s">
        <v>426</v>
      </c>
      <c r="F110" t="s">
        <v>429</v>
      </c>
      <c r="G110">
        <v>125.464</v>
      </c>
      <c r="H110">
        <v>66.096999999999994</v>
      </c>
      <c r="I110">
        <v>60</v>
      </c>
      <c r="J110">
        <v>1934.95</v>
      </c>
      <c r="K110" t="s">
        <v>433</v>
      </c>
      <c r="L110" t="s">
        <v>435</v>
      </c>
      <c r="M110" t="s">
        <v>441</v>
      </c>
      <c r="N110" t="s">
        <v>443</v>
      </c>
      <c r="O110">
        <v>5</v>
      </c>
      <c r="P110">
        <v>1.36</v>
      </c>
    </row>
    <row r="111" spans="1:16">
      <c r="A111" t="s">
        <v>122</v>
      </c>
      <c r="B111">
        <v>19</v>
      </c>
      <c r="C111" t="s">
        <v>414</v>
      </c>
      <c r="D111" t="s">
        <v>416</v>
      </c>
      <c r="E111" t="s">
        <v>425</v>
      </c>
      <c r="F111" t="s">
        <v>429</v>
      </c>
      <c r="G111">
        <v>216.803</v>
      </c>
      <c r="H111">
        <v>23.646000000000001</v>
      </c>
      <c r="I111">
        <v>14</v>
      </c>
      <c r="J111">
        <v>207.42</v>
      </c>
      <c r="K111" t="s">
        <v>432</v>
      </c>
      <c r="L111" t="s">
        <v>436</v>
      </c>
      <c r="M111" t="s">
        <v>441</v>
      </c>
      <c r="N111" t="s">
        <v>444</v>
      </c>
      <c r="O111">
        <v>2</v>
      </c>
      <c r="P111">
        <v>4.16</v>
      </c>
    </row>
    <row r="112" spans="1:16">
      <c r="A112" t="s">
        <v>123</v>
      </c>
      <c r="B112">
        <v>63</v>
      </c>
      <c r="C112" t="s">
        <v>414</v>
      </c>
      <c r="D112" t="s">
        <v>423</v>
      </c>
      <c r="E112" t="s">
        <v>424</v>
      </c>
      <c r="F112" t="s">
        <v>430</v>
      </c>
      <c r="G112">
        <v>77.52</v>
      </c>
      <c r="H112">
        <v>27.632999999999999</v>
      </c>
      <c r="I112">
        <v>17</v>
      </c>
      <c r="J112">
        <v>217.58</v>
      </c>
      <c r="K112" t="s">
        <v>432</v>
      </c>
      <c r="L112" t="s">
        <v>436</v>
      </c>
      <c r="M112" t="s">
        <v>438</v>
      </c>
      <c r="N112" t="s">
        <v>445</v>
      </c>
      <c r="O112">
        <v>6</v>
      </c>
      <c r="P112">
        <v>30.55</v>
      </c>
    </row>
    <row r="113" spans="1:16">
      <c r="A113" t="s">
        <v>124</v>
      </c>
      <c r="B113">
        <v>73</v>
      </c>
      <c r="C113" t="s">
        <v>414</v>
      </c>
      <c r="D113" t="s">
        <v>419</v>
      </c>
      <c r="E113" t="s">
        <v>427</v>
      </c>
      <c r="F113" t="s">
        <v>429</v>
      </c>
      <c r="G113">
        <v>115.90600000000001</v>
      </c>
      <c r="H113">
        <v>83.396000000000001</v>
      </c>
      <c r="I113">
        <v>108</v>
      </c>
      <c r="J113">
        <v>772.19</v>
      </c>
      <c r="K113" t="s">
        <v>433</v>
      </c>
      <c r="L113" t="s">
        <v>434</v>
      </c>
      <c r="M113" t="s">
        <v>440</v>
      </c>
      <c r="N113" t="s">
        <v>443</v>
      </c>
      <c r="O113">
        <v>6</v>
      </c>
      <c r="P113">
        <v>11.52</v>
      </c>
    </row>
    <row r="114" spans="1:16">
      <c r="A114" t="s">
        <v>125</v>
      </c>
      <c r="B114">
        <v>49</v>
      </c>
      <c r="C114" t="s">
        <v>414</v>
      </c>
      <c r="D114" t="s">
        <v>416</v>
      </c>
      <c r="E114" t="s">
        <v>424</v>
      </c>
      <c r="F114" t="s">
        <v>431</v>
      </c>
      <c r="G114">
        <v>125.682</v>
      </c>
      <c r="H114">
        <v>56.95</v>
      </c>
      <c r="I114">
        <v>75</v>
      </c>
      <c r="J114">
        <v>759.33</v>
      </c>
      <c r="K114" t="s">
        <v>432</v>
      </c>
      <c r="L114" t="s">
        <v>437</v>
      </c>
      <c r="M114" t="s">
        <v>439</v>
      </c>
      <c r="N114" t="s">
        <v>445</v>
      </c>
      <c r="O114">
        <v>5</v>
      </c>
      <c r="P114">
        <v>39.07</v>
      </c>
    </row>
    <row r="115" spans="1:16">
      <c r="A115" t="s">
        <v>126</v>
      </c>
      <c r="B115">
        <v>18</v>
      </c>
      <c r="C115" t="s">
        <v>414</v>
      </c>
      <c r="D115" t="s">
        <v>422</v>
      </c>
      <c r="E115" t="s">
        <v>426</v>
      </c>
      <c r="F115" t="s">
        <v>430</v>
      </c>
      <c r="G115">
        <v>23.722000000000001</v>
      </c>
      <c r="H115">
        <v>25.79</v>
      </c>
      <c r="I115">
        <v>52</v>
      </c>
      <c r="J115">
        <v>495.96</v>
      </c>
      <c r="K115" t="s">
        <v>432</v>
      </c>
      <c r="L115" t="s">
        <v>435</v>
      </c>
      <c r="M115" t="s">
        <v>439</v>
      </c>
      <c r="N115" t="s">
        <v>443</v>
      </c>
      <c r="O115">
        <v>1</v>
      </c>
      <c r="P115">
        <v>31.11</v>
      </c>
    </row>
    <row r="116" spans="1:16">
      <c r="A116" t="s">
        <v>127</v>
      </c>
      <c r="B116">
        <v>27</v>
      </c>
      <c r="C116" t="s">
        <v>413</v>
      </c>
      <c r="D116" t="s">
        <v>423</v>
      </c>
      <c r="E116" t="s">
        <v>425</v>
      </c>
      <c r="F116" t="s">
        <v>429</v>
      </c>
      <c r="G116">
        <v>44.893000000000001</v>
      </c>
      <c r="H116">
        <v>27.190999999999999</v>
      </c>
      <c r="I116">
        <v>32</v>
      </c>
      <c r="J116">
        <v>3349.72</v>
      </c>
      <c r="K116" t="s">
        <v>432</v>
      </c>
      <c r="L116" t="s">
        <v>436</v>
      </c>
      <c r="M116" t="s">
        <v>441</v>
      </c>
      <c r="N116" t="s">
        <v>444</v>
      </c>
      <c r="O116">
        <v>7</v>
      </c>
      <c r="P116">
        <v>18.3</v>
      </c>
    </row>
    <row r="117" spans="1:16">
      <c r="A117" t="s">
        <v>128</v>
      </c>
      <c r="B117">
        <v>63</v>
      </c>
      <c r="C117" t="s">
        <v>413</v>
      </c>
      <c r="D117" t="s">
        <v>419</v>
      </c>
      <c r="E117" t="s">
        <v>425</v>
      </c>
      <c r="F117" t="s">
        <v>429</v>
      </c>
      <c r="G117">
        <v>243.661</v>
      </c>
      <c r="H117">
        <v>60.615000000000002</v>
      </c>
      <c r="I117">
        <v>65</v>
      </c>
      <c r="J117">
        <v>932.54</v>
      </c>
      <c r="K117" t="s">
        <v>432</v>
      </c>
      <c r="L117" t="s">
        <v>434</v>
      </c>
      <c r="M117" t="s">
        <v>442</v>
      </c>
      <c r="N117" t="s">
        <v>444</v>
      </c>
      <c r="O117">
        <v>8</v>
      </c>
      <c r="P117">
        <v>30.59</v>
      </c>
    </row>
    <row r="118" spans="1:16">
      <c r="A118" t="s">
        <v>129</v>
      </c>
      <c r="B118">
        <v>55</v>
      </c>
      <c r="C118" t="s">
        <v>414</v>
      </c>
      <c r="D118" t="s">
        <v>419</v>
      </c>
      <c r="E118" t="s">
        <v>425</v>
      </c>
      <c r="F118" t="s">
        <v>429</v>
      </c>
      <c r="G118">
        <v>180.673</v>
      </c>
      <c r="H118">
        <v>16.399999999999999</v>
      </c>
      <c r="I118">
        <v>57</v>
      </c>
      <c r="J118">
        <v>287.72000000000003</v>
      </c>
      <c r="K118" t="s">
        <v>433</v>
      </c>
      <c r="L118" t="s">
        <v>435</v>
      </c>
      <c r="M118" t="s">
        <v>439</v>
      </c>
      <c r="N118" t="s">
        <v>444</v>
      </c>
      <c r="O118">
        <v>9</v>
      </c>
      <c r="P118">
        <v>47.3</v>
      </c>
    </row>
    <row r="119" spans="1:16">
      <c r="A119" t="s">
        <v>130</v>
      </c>
      <c r="B119">
        <v>36</v>
      </c>
      <c r="C119" t="s">
        <v>414</v>
      </c>
      <c r="D119" t="s">
        <v>421</v>
      </c>
      <c r="E119" t="s">
        <v>424</v>
      </c>
      <c r="F119" t="s">
        <v>431</v>
      </c>
      <c r="G119">
        <v>175.15299999999999</v>
      </c>
      <c r="H119">
        <v>64.406000000000006</v>
      </c>
      <c r="I119">
        <v>52</v>
      </c>
      <c r="J119">
        <v>1238.58</v>
      </c>
      <c r="K119" t="s">
        <v>433</v>
      </c>
      <c r="L119" t="s">
        <v>436</v>
      </c>
      <c r="M119" t="s">
        <v>440</v>
      </c>
      <c r="N119" t="s">
        <v>444</v>
      </c>
      <c r="O119">
        <v>5</v>
      </c>
      <c r="P119">
        <v>23.54</v>
      </c>
    </row>
    <row r="120" spans="1:16">
      <c r="A120" t="s">
        <v>131</v>
      </c>
      <c r="B120">
        <v>19</v>
      </c>
      <c r="C120" t="s">
        <v>415</v>
      </c>
      <c r="D120" t="s">
        <v>418</v>
      </c>
      <c r="E120" t="s">
        <v>424</v>
      </c>
      <c r="F120" t="s">
        <v>429</v>
      </c>
      <c r="G120">
        <v>71.254999999999995</v>
      </c>
      <c r="H120">
        <v>79.677999999999997</v>
      </c>
      <c r="I120">
        <v>49</v>
      </c>
      <c r="J120">
        <v>2034.24</v>
      </c>
      <c r="K120" t="s">
        <v>433</v>
      </c>
      <c r="L120" t="s">
        <v>437</v>
      </c>
      <c r="M120" t="s">
        <v>441</v>
      </c>
      <c r="N120" t="s">
        <v>445</v>
      </c>
      <c r="O120">
        <v>7</v>
      </c>
      <c r="P120">
        <v>37.21</v>
      </c>
    </row>
    <row r="121" spans="1:16">
      <c r="A121" t="s">
        <v>132</v>
      </c>
      <c r="B121">
        <v>58</v>
      </c>
      <c r="C121" t="s">
        <v>414</v>
      </c>
      <c r="D121" t="s">
        <v>418</v>
      </c>
      <c r="E121" t="s">
        <v>424</v>
      </c>
      <c r="F121" t="s">
        <v>428</v>
      </c>
      <c r="G121">
        <v>176.40899999999999</v>
      </c>
      <c r="H121">
        <v>74.650999999999996</v>
      </c>
      <c r="I121">
        <v>55</v>
      </c>
      <c r="J121">
        <v>1357.29</v>
      </c>
      <c r="K121" t="s">
        <v>432</v>
      </c>
      <c r="L121" t="s">
        <v>434</v>
      </c>
      <c r="M121" t="s">
        <v>441</v>
      </c>
      <c r="N121" t="s">
        <v>445</v>
      </c>
      <c r="O121">
        <v>9</v>
      </c>
      <c r="P121">
        <v>3.82</v>
      </c>
    </row>
    <row r="122" spans="1:16">
      <c r="A122" t="s">
        <v>133</v>
      </c>
      <c r="B122">
        <v>69</v>
      </c>
      <c r="C122" t="s">
        <v>413</v>
      </c>
      <c r="D122" t="s">
        <v>416</v>
      </c>
      <c r="E122" t="s">
        <v>424</v>
      </c>
      <c r="F122" t="s">
        <v>429</v>
      </c>
      <c r="G122">
        <v>67.55</v>
      </c>
      <c r="H122">
        <v>86.753</v>
      </c>
      <c r="I122">
        <v>107</v>
      </c>
      <c r="J122">
        <v>633.23</v>
      </c>
      <c r="K122" t="s">
        <v>433</v>
      </c>
      <c r="L122" t="s">
        <v>435</v>
      </c>
      <c r="M122" t="s">
        <v>442</v>
      </c>
      <c r="N122" t="s">
        <v>444</v>
      </c>
      <c r="O122">
        <v>3</v>
      </c>
      <c r="P122">
        <v>17.12</v>
      </c>
    </row>
    <row r="123" spans="1:16">
      <c r="A123" t="s">
        <v>134</v>
      </c>
      <c r="B123">
        <v>40</v>
      </c>
      <c r="C123" t="s">
        <v>414</v>
      </c>
      <c r="D123" t="s">
        <v>417</v>
      </c>
      <c r="E123" t="s">
        <v>425</v>
      </c>
      <c r="F123" t="s">
        <v>428</v>
      </c>
      <c r="G123">
        <v>168.607</v>
      </c>
      <c r="H123">
        <v>31.524999999999999</v>
      </c>
      <c r="I123">
        <v>13</v>
      </c>
      <c r="J123">
        <v>985.68</v>
      </c>
      <c r="K123" t="s">
        <v>432</v>
      </c>
      <c r="L123" t="s">
        <v>436</v>
      </c>
      <c r="M123" t="s">
        <v>438</v>
      </c>
      <c r="N123" t="s">
        <v>444</v>
      </c>
      <c r="O123">
        <v>2</v>
      </c>
      <c r="P123">
        <v>10.18</v>
      </c>
    </row>
    <row r="124" spans="1:16">
      <c r="A124" t="s">
        <v>135</v>
      </c>
      <c r="B124">
        <v>37</v>
      </c>
      <c r="C124" t="s">
        <v>414</v>
      </c>
      <c r="D124" t="s">
        <v>416</v>
      </c>
      <c r="E124" t="s">
        <v>425</v>
      </c>
      <c r="F124" t="s">
        <v>429</v>
      </c>
      <c r="G124">
        <v>99.066999999999993</v>
      </c>
      <c r="H124">
        <v>34.079000000000001</v>
      </c>
      <c r="I124">
        <v>29</v>
      </c>
      <c r="J124">
        <v>1175.1400000000001</v>
      </c>
      <c r="K124" t="s">
        <v>432</v>
      </c>
      <c r="L124" t="s">
        <v>435</v>
      </c>
      <c r="M124" t="s">
        <v>438</v>
      </c>
      <c r="N124" t="s">
        <v>444</v>
      </c>
      <c r="O124">
        <v>7</v>
      </c>
      <c r="P124">
        <v>36.22</v>
      </c>
    </row>
    <row r="125" spans="1:16">
      <c r="A125" t="s">
        <v>136</v>
      </c>
      <c r="B125">
        <v>69</v>
      </c>
      <c r="C125" t="s">
        <v>414</v>
      </c>
      <c r="D125" t="s">
        <v>422</v>
      </c>
      <c r="E125" t="s">
        <v>424</v>
      </c>
      <c r="F125" t="s">
        <v>428</v>
      </c>
      <c r="G125">
        <v>113.72</v>
      </c>
      <c r="H125">
        <v>9.74</v>
      </c>
      <c r="I125">
        <v>10</v>
      </c>
      <c r="J125">
        <v>81.17</v>
      </c>
      <c r="K125" t="s">
        <v>433</v>
      </c>
      <c r="L125" t="s">
        <v>436</v>
      </c>
      <c r="M125" t="s">
        <v>439</v>
      </c>
      <c r="N125" t="s">
        <v>444</v>
      </c>
      <c r="O125">
        <v>7</v>
      </c>
      <c r="P125">
        <v>6.8</v>
      </c>
    </row>
    <row r="126" spans="1:16">
      <c r="A126" t="s">
        <v>137</v>
      </c>
      <c r="B126">
        <v>29</v>
      </c>
      <c r="C126" t="s">
        <v>414</v>
      </c>
      <c r="D126" t="s">
        <v>423</v>
      </c>
      <c r="E126" t="s">
        <v>425</v>
      </c>
      <c r="F126" t="s">
        <v>428</v>
      </c>
      <c r="G126">
        <v>218.85300000000001</v>
      </c>
      <c r="H126">
        <v>55.662999999999997</v>
      </c>
      <c r="I126">
        <v>73</v>
      </c>
      <c r="J126">
        <v>452.54</v>
      </c>
      <c r="K126" t="s">
        <v>432</v>
      </c>
      <c r="L126" t="s">
        <v>435</v>
      </c>
      <c r="M126" t="s">
        <v>439</v>
      </c>
      <c r="N126" t="s">
        <v>444</v>
      </c>
      <c r="O126">
        <v>9</v>
      </c>
      <c r="P126">
        <v>39.090000000000003</v>
      </c>
    </row>
    <row r="127" spans="1:16">
      <c r="A127" t="s">
        <v>138</v>
      </c>
      <c r="B127">
        <v>73</v>
      </c>
      <c r="C127" t="s">
        <v>413</v>
      </c>
      <c r="D127" t="s">
        <v>418</v>
      </c>
      <c r="E127" t="s">
        <v>424</v>
      </c>
      <c r="F127" t="s">
        <v>429</v>
      </c>
      <c r="G127">
        <v>237.15700000000001</v>
      </c>
      <c r="H127">
        <v>58.087000000000003</v>
      </c>
      <c r="I127">
        <v>89</v>
      </c>
      <c r="J127">
        <v>652.66</v>
      </c>
      <c r="K127" t="s">
        <v>432</v>
      </c>
      <c r="L127" t="s">
        <v>434</v>
      </c>
      <c r="M127" t="s">
        <v>441</v>
      </c>
      <c r="N127" t="s">
        <v>444</v>
      </c>
      <c r="O127">
        <v>7</v>
      </c>
      <c r="P127">
        <v>12.43</v>
      </c>
    </row>
    <row r="128" spans="1:16">
      <c r="A128" t="s">
        <v>139</v>
      </c>
      <c r="B128">
        <v>46</v>
      </c>
      <c r="C128" t="s">
        <v>413</v>
      </c>
      <c r="D128" t="s">
        <v>420</v>
      </c>
      <c r="E128" t="s">
        <v>424</v>
      </c>
      <c r="F128" t="s">
        <v>429</v>
      </c>
      <c r="G128">
        <v>110.709</v>
      </c>
      <c r="H128">
        <v>45.101999999999997</v>
      </c>
      <c r="I128">
        <v>11</v>
      </c>
      <c r="J128">
        <v>446.55</v>
      </c>
      <c r="K128" t="s">
        <v>433</v>
      </c>
      <c r="L128" t="s">
        <v>435</v>
      </c>
      <c r="M128" t="s">
        <v>438</v>
      </c>
      <c r="N128" t="s">
        <v>444</v>
      </c>
      <c r="O128">
        <v>2</v>
      </c>
      <c r="P128">
        <v>6.35</v>
      </c>
    </row>
    <row r="129" spans="1:16">
      <c r="A129" t="s">
        <v>140</v>
      </c>
      <c r="B129">
        <v>37</v>
      </c>
      <c r="C129" t="s">
        <v>414</v>
      </c>
      <c r="D129" t="s">
        <v>422</v>
      </c>
      <c r="E129" t="s">
        <v>424</v>
      </c>
      <c r="F129" t="s">
        <v>428</v>
      </c>
      <c r="G129">
        <v>132.91800000000001</v>
      </c>
      <c r="H129">
        <v>54.357999999999997</v>
      </c>
      <c r="I129">
        <v>46</v>
      </c>
      <c r="J129">
        <v>1181.7</v>
      </c>
      <c r="K129" t="s">
        <v>432</v>
      </c>
      <c r="L129" t="s">
        <v>436</v>
      </c>
      <c r="M129" t="s">
        <v>440</v>
      </c>
      <c r="N129" t="s">
        <v>445</v>
      </c>
      <c r="O129">
        <v>1</v>
      </c>
      <c r="P129">
        <v>24.07</v>
      </c>
    </row>
    <row r="130" spans="1:16">
      <c r="A130" t="s">
        <v>141</v>
      </c>
      <c r="B130">
        <v>64</v>
      </c>
      <c r="C130" t="s">
        <v>413</v>
      </c>
      <c r="D130" t="s">
        <v>417</v>
      </c>
      <c r="E130" t="s">
        <v>425</v>
      </c>
      <c r="F130" t="s">
        <v>429</v>
      </c>
      <c r="G130">
        <v>177.18199999999999</v>
      </c>
      <c r="H130">
        <v>72.251999999999995</v>
      </c>
      <c r="I130">
        <v>101</v>
      </c>
      <c r="J130">
        <v>1111.4100000000001</v>
      </c>
      <c r="K130" t="s">
        <v>432</v>
      </c>
      <c r="L130" t="s">
        <v>435</v>
      </c>
      <c r="M130" t="s">
        <v>442</v>
      </c>
      <c r="N130" t="s">
        <v>443</v>
      </c>
      <c r="O130">
        <v>4</v>
      </c>
      <c r="P130">
        <v>42.47</v>
      </c>
    </row>
    <row r="131" spans="1:16">
      <c r="A131" t="s">
        <v>142</v>
      </c>
      <c r="B131">
        <v>72</v>
      </c>
      <c r="C131" t="s">
        <v>414</v>
      </c>
      <c r="D131" t="s">
        <v>418</v>
      </c>
      <c r="E131" t="s">
        <v>424</v>
      </c>
      <c r="F131" t="s">
        <v>428</v>
      </c>
      <c r="G131">
        <v>193.453</v>
      </c>
      <c r="H131">
        <v>16.61</v>
      </c>
      <c r="I131">
        <v>15</v>
      </c>
      <c r="J131">
        <v>158.19</v>
      </c>
      <c r="K131" t="s">
        <v>433</v>
      </c>
      <c r="L131" t="s">
        <v>435</v>
      </c>
      <c r="M131" t="s">
        <v>441</v>
      </c>
      <c r="N131" t="s">
        <v>445</v>
      </c>
      <c r="O131">
        <v>1</v>
      </c>
      <c r="P131">
        <v>33.19</v>
      </c>
    </row>
    <row r="132" spans="1:16">
      <c r="A132" t="s">
        <v>143</v>
      </c>
      <c r="B132">
        <v>24</v>
      </c>
      <c r="C132" t="s">
        <v>415</v>
      </c>
      <c r="D132" t="s">
        <v>419</v>
      </c>
      <c r="E132" t="s">
        <v>425</v>
      </c>
      <c r="F132" t="s">
        <v>428</v>
      </c>
      <c r="G132">
        <v>46.527000000000001</v>
      </c>
      <c r="H132">
        <v>21.760999999999999</v>
      </c>
      <c r="I132">
        <v>85</v>
      </c>
      <c r="J132">
        <v>256.01</v>
      </c>
      <c r="K132" t="s">
        <v>432</v>
      </c>
      <c r="L132" t="s">
        <v>434</v>
      </c>
      <c r="M132" t="s">
        <v>438</v>
      </c>
      <c r="N132" t="s">
        <v>444</v>
      </c>
      <c r="O132">
        <v>6</v>
      </c>
      <c r="P132">
        <v>3.4</v>
      </c>
    </row>
    <row r="133" spans="1:16">
      <c r="A133" t="s">
        <v>144</v>
      </c>
      <c r="B133">
        <v>40</v>
      </c>
      <c r="C133" t="s">
        <v>414</v>
      </c>
      <c r="D133" t="s">
        <v>423</v>
      </c>
      <c r="E133" t="s">
        <v>425</v>
      </c>
      <c r="F133" t="s">
        <v>429</v>
      </c>
      <c r="G133">
        <v>86.64</v>
      </c>
      <c r="H133">
        <v>79.548000000000002</v>
      </c>
      <c r="I133">
        <v>27</v>
      </c>
      <c r="J133">
        <v>2946.22</v>
      </c>
      <c r="K133" t="s">
        <v>432</v>
      </c>
      <c r="L133" t="s">
        <v>434</v>
      </c>
      <c r="M133" t="s">
        <v>440</v>
      </c>
      <c r="N133" t="s">
        <v>444</v>
      </c>
      <c r="O133">
        <v>8</v>
      </c>
      <c r="P133">
        <v>23.58</v>
      </c>
    </row>
    <row r="134" spans="1:16">
      <c r="A134" t="s">
        <v>145</v>
      </c>
      <c r="B134">
        <v>33</v>
      </c>
      <c r="C134" t="s">
        <v>413</v>
      </c>
      <c r="D134" t="s">
        <v>418</v>
      </c>
      <c r="E134" t="s">
        <v>424</v>
      </c>
      <c r="F134" t="s">
        <v>428</v>
      </c>
      <c r="G134">
        <v>246.64699999999999</v>
      </c>
      <c r="H134">
        <v>29.475999999999999</v>
      </c>
      <c r="I134">
        <v>55</v>
      </c>
      <c r="J134">
        <v>535.92999999999995</v>
      </c>
      <c r="K134" t="s">
        <v>433</v>
      </c>
      <c r="L134" t="s">
        <v>435</v>
      </c>
      <c r="M134" t="s">
        <v>441</v>
      </c>
      <c r="N134" t="s">
        <v>444</v>
      </c>
      <c r="O134">
        <v>9</v>
      </c>
      <c r="P134">
        <v>4.42</v>
      </c>
    </row>
    <row r="135" spans="1:16">
      <c r="A135" t="s">
        <v>146</v>
      </c>
      <c r="B135">
        <v>27</v>
      </c>
      <c r="C135" t="s">
        <v>413</v>
      </c>
      <c r="D135" t="s">
        <v>421</v>
      </c>
      <c r="E135" t="s">
        <v>425</v>
      </c>
      <c r="F135" t="s">
        <v>431</v>
      </c>
      <c r="G135">
        <v>238.84899999999999</v>
      </c>
      <c r="H135">
        <v>16.651</v>
      </c>
      <c r="I135">
        <v>87</v>
      </c>
      <c r="J135">
        <v>1225.8699999999999</v>
      </c>
      <c r="K135" t="s">
        <v>433</v>
      </c>
      <c r="L135" t="s">
        <v>434</v>
      </c>
      <c r="M135" t="s">
        <v>439</v>
      </c>
      <c r="N135" t="s">
        <v>443</v>
      </c>
      <c r="O135">
        <v>6</v>
      </c>
      <c r="P135">
        <v>17.22</v>
      </c>
    </row>
    <row r="136" spans="1:16">
      <c r="A136" t="s">
        <v>147</v>
      </c>
      <c r="B136">
        <v>55</v>
      </c>
      <c r="C136" t="s">
        <v>414</v>
      </c>
      <c r="D136" t="s">
        <v>422</v>
      </c>
      <c r="E136" t="s">
        <v>425</v>
      </c>
      <c r="F136" t="s">
        <v>429</v>
      </c>
      <c r="G136">
        <v>144.952</v>
      </c>
      <c r="H136">
        <v>39.646999999999998</v>
      </c>
      <c r="I136">
        <v>46</v>
      </c>
      <c r="J136">
        <v>271.55</v>
      </c>
      <c r="K136" t="s">
        <v>433</v>
      </c>
      <c r="L136" t="s">
        <v>436</v>
      </c>
      <c r="M136" t="s">
        <v>441</v>
      </c>
      <c r="N136" t="s">
        <v>445</v>
      </c>
      <c r="O136">
        <v>3</v>
      </c>
      <c r="P136">
        <v>43.86</v>
      </c>
    </row>
    <row r="137" spans="1:16">
      <c r="A137" t="s">
        <v>148</v>
      </c>
      <c r="B137">
        <v>68</v>
      </c>
      <c r="C137" t="s">
        <v>414</v>
      </c>
      <c r="D137" t="s">
        <v>421</v>
      </c>
      <c r="E137" t="s">
        <v>425</v>
      </c>
      <c r="F137" t="s">
        <v>428</v>
      </c>
      <c r="G137">
        <v>27.215</v>
      </c>
      <c r="H137">
        <v>69.522999999999996</v>
      </c>
      <c r="I137">
        <v>81</v>
      </c>
      <c r="J137">
        <v>858.31</v>
      </c>
      <c r="K137" t="s">
        <v>433</v>
      </c>
      <c r="L137" t="s">
        <v>437</v>
      </c>
      <c r="M137" t="s">
        <v>442</v>
      </c>
      <c r="N137" t="s">
        <v>444</v>
      </c>
      <c r="O137">
        <v>6</v>
      </c>
      <c r="P137">
        <v>18.16</v>
      </c>
    </row>
    <row r="138" spans="1:16">
      <c r="A138" t="s">
        <v>149</v>
      </c>
      <c r="B138">
        <v>71</v>
      </c>
      <c r="C138" t="s">
        <v>413</v>
      </c>
      <c r="D138" t="s">
        <v>423</v>
      </c>
      <c r="E138" t="s">
        <v>427</v>
      </c>
      <c r="F138" t="s">
        <v>429</v>
      </c>
      <c r="G138">
        <v>158.88900000000001</v>
      </c>
      <c r="H138">
        <v>76.668000000000006</v>
      </c>
      <c r="I138">
        <v>68</v>
      </c>
      <c r="J138">
        <v>1127.47</v>
      </c>
      <c r="K138" t="s">
        <v>432</v>
      </c>
      <c r="L138" t="s">
        <v>435</v>
      </c>
      <c r="M138" t="s">
        <v>440</v>
      </c>
      <c r="N138" t="s">
        <v>444</v>
      </c>
      <c r="O138">
        <v>1</v>
      </c>
      <c r="P138">
        <v>45.01</v>
      </c>
    </row>
    <row r="139" spans="1:16">
      <c r="A139" t="s">
        <v>150</v>
      </c>
      <c r="B139">
        <v>47</v>
      </c>
      <c r="C139" t="s">
        <v>414</v>
      </c>
      <c r="D139" t="s">
        <v>419</v>
      </c>
      <c r="E139" t="s">
        <v>426</v>
      </c>
      <c r="F139" t="s">
        <v>428</v>
      </c>
      <c r="G139">
        <v>70.962000000000003</v>
      </c>
      <c r="H139">
        <v>137.63999999999999</v>
      </c>
      <c r="I139">
        <v>87</v>
      </c>
      <c r="J139">
        <v>1352.18</v>
      </c>
      <c r="K139" t="s">
        <v>432</v>
      </c>
      <c r="L139" t="s">
        <v>436</v>
      </c>
      <c r="M139" t="s">
        <v>441</v>
      </c>
      <c r="N139" t="s">
        <v>444</v>
      </c>
      <c r="O139">
        <v>2</v>
      </c>
      <c r="P139">
        <v>13.46</v>
      </c>
    </row>
    <row r="140" spans="1:16">
      <c r="A140" t="s">
        <v>151</v>
      </c>
      <c r="B140">
        <v>48</v>
      </c>
      <c r="C140" t="s">
        <v>413</v>
      </c>
      <c r="D140" t="s">
        <v>419</v>
      </c>
      <c r="E140" t="s">
        <v>424</v>
      </c>
      <c r="F140" t="s">
        <v>429</v>
      </c>
      <c r="G140">
        <v>219.61500000000001</v>
      </c>
      <c r="H140">
        <v>63.89</v>
      </c>
      <c r="I140">
        <v>73</v>
      </c>
      <c r="J140">
        <v>875.21</v>
      </c>
      <c r="K140" t="s">
        <v>433</v>
      </c>
      <c r="L140" t="s">
        <v>435</v>
      </c>
      <c r="M140" t="s">
        <v>441</v>
      </c>
      <c r="N140" t="s">
        <v>444</v>
      </c>
      <c r="O140">
        <v>1</v>
      </c>
      <c r="P140">
        <v>0.96</v>
      </c>
    </row>
    <row r="141" spans="1:16">
      <c r="A141" t="s">
        <v>152</v>
      </c>
      <c r="B141">
        <v>62</v>
      </c>
      <c r="C141" t="s">
        <v>414</v>
      </c>
      <c r="D141" t="s">
        <v>423</v>
      </c>
      <c r="E141" t="s">
        <v>424</v>
      </c>
      <c r="F141" t="s">
        <v>429</v>
      </c>
      <c r="G141">
        <v>189.904</v>
      </c>
      <c r="H141">
        <v>72.155000000000001</v>
      </c>
      <c r="I141">
        <v>106</v>
      </c>
      <c r="J141">
        <v>680.71</v>
      </c>
      <c r="K141" t="s">
        <v>432</v>
      </c>
      <c r="L141" t="s">
        <v>435</v>
      </c>
      <c r="M141" t="s">
        <v>439</v>
      </c>
      <c r="N141" t="s">
        <v>444</v>
      </c>
      <c r="O141">
        <v>7</v>
      </c>
      <c r="P141">
        <v>21.66</v>
      </c>
    </row>
    <row r="142" spans="1:16">
      <c r="A142" t="s">
        <v>153</v>
      </c>
      <c r="B142">
        <v>55</v>
      </c>
      <c r="C142" t="s">
        <v>414</v>
      </c>
      <c r="D142" t="s">
        <v>423</v>
      </c>
      <c r="E142" t="s">
        <v>425</v>
      </c>
      <c r="F142" t="s">
        <v>429</v>
      </c>
      <c r="G142">
        <v>29.731000000000002</v>
      </c>
      <c r="H142">
        <v>30.177</v>
      </c>
      <c r="I142">
        <v>26</v>
      </c>
      <c r="J142">
        <v>1160.6500000000001</v>
      </c>
      <c r="K142" t="s">
        <v>432</v>
      </c>
      <c r="L142" t="s">
        <v>434</v>
      </c>
      <c r="M142" t="s">
        <v>441</v>
      </c>
      <c r="N142" t="s">
        <v>443</v>
      </c>
      <c r="O142">
        <v>10</v>
      </c>
      <c r="P142">
        <v>44.01</v>
      </c>
    </row>
    <row r="143" spans="1:16">
      <c r="A143" t="s">
        <v>154</v>
      </c>
      <c r="B143">
        <v>25</v>
      </c>
      <c r="C143" t="s">
        <v>414</v>
      </c>
      <c r="D143" t="s">
        <v>423</v>
      </c>
      <c r="E143" t="s">
        <v>424</v>
      </c>
      <c r="F143" t="s">
        <v>428</v>
      </c>
      <c r="G143">
        <v>117.367</v>
      </c>
      <c r="H143">
        <v>49.253</v>
      </c>
      <c r="I143">
        <v>39</v>
      </c>
      <c r="J143">
        <v>1262.9000000000001</v>
      </c>
      <c r="K143" t="s">
        <v>432</v>
      </c>
      <c r="L143" t="s">
        <v>435</v>
      </c>
      <c r="M143" t="s">
        <v>438</v>
      </c>
      <c r="N143" t="s">
        <v>444</v>
      </c>
      <c r="O143">
        <v>1</v>
      </c>
      <c r="P143">
        <v>18.489999999999998</v>
      </c>
    </row>
    <row r="144" spans="1:16">
      <c r="A144" t="s">
        <v>155</v>
      </c>
      <c r="B144">
        <v>70</v>
      </c>
      <c r="C144" t="s">
        <v>414</v>
      </c>
      <c r="D144" t="s">
        <v>423</v>
      </c>
      <c r="E144" t="s">
        <v>426</v>
      </c>
      <c r="F144" t="s">
        <v>428</v>
      </c>
      <c r="G144">
        <v>104.667</v>
      </c>
      <c r="H144">
        <v>85.275999999999996</v>
      </c>
      <c r="I144">
        <v>105</v>
      </c>
      <c r="J144">
        <v>631.66999999999996</v>
      </c>
      <c r="K144" t="s">
        <v>433</v>
      </c>
      <c r="L144" t="s">
        <v>434</v>
      </c>
      <c r="M144" t="s">
        <v>441</v>
      </c>
      <c r="N144" t="s">
        <v>445</v>
      </c>
      <c r="O144">
        <v>10</v>
      </c>
      <c r="P144">
        <v>2.58</v>
      </c>
    </row>
    <row r="145" spans="1:16">
      <c r="A145" t="s">
        <v>156</v>
      </c>
      <c r="B145">
        <v>34</v>
      </c>
      <c r="C145" t="s">
        <v>413</v>
      </c>
      <c r="D145" t="s">
        <v>418</v>
      </c>
      <c r="E145" t="s">
        <v>427</v>
      </c>
      <c r="F145" t="s">
        <v>429</v>
      </c>
      <c r="G145">
        <v>206.68600000000001</v>
      </c>
      <c r="H145">
        <v>45.779000000000003</v>
      </c>
      <c r="I145">
        <v>51</v>
      </c>
      <c r="J145">
        <v>897.63</v>
      </c>
      <c r="K145" t="s">
        <v>432</v>
      </c>
      <c r="L145" t="s">
        <v>436</v>
      </c>
      <c r="M145" t="s">
        <v>438</v>
      </c>
      <c r="N145" t="s">
        <v>443</v>
      </c>
      <c r="O145">
        <v>10</v>
      </c>
      <c r="P145">
        <v>10.42</v>
      </c>
    </row>
    <row r="146" spans="1:16">
      <c r="A146" t="s">
        <v>157</v>
      </c>
      <c r="B146">
        <v>35</v>
      </c>
      <c r="C146" t="s">
        <v>413</v>
      </c>
      <c r="D146" t="s">
        <v>423</v>
      </c>
      <c r="E146" t="s">
        <v>425</v>
      </c>
      <c r="F146" t="s">
        <v>429</v>
      </c>
      <c r="G146">
        <v>104.086</v>
      </c>
      <c r="H146">
        <v>56.048000000000002</v>
      </c>
      <c r="I146">
        <v>67</v>
      </c>
      <c r="J146">
        <v>479.04</v>
      </c>
      <c r="K146" t="s">
        <v>432</v>
      </c>
      <c r="L146" t="s">
        <v>437</v>
      </c>
      <c r="M146" t="s">
        <v>441</v>
      </c>
      <c r="N146" t="s">
        <v>444</v>
      </c>
      <c r="O146">
        <v>9</v>
      </c>
      <c r="P146">
        <v>0.95</v>
      </c>
    </row>
    <row r="147" spans="1:16">
      <c r="A147" t="s">
        <v>158</v>
      </c>
      <c r="B147">
        <v>22</v>
      </c>
      <c r="C147" t="s">
        <v>413</v>
      </c>
      <c r="D147" t="s">
        <v>422</v>
      </c>
      <c r="E147" t="s">
        <v>424</v>
      </c>
      <c r="F147" t="s">
        <v>428</v>
      </c>
      <c r="G147">
        <v>84.432000000000002</v>
      </c>
      <c r="H147">
        <v>40.249000000000002</v>
      </c>
      <c r="I147">
        <v>45</v>
      </c>
      <c r="J147">
        <v>894.42</v>
      </c>
      <c r="K147" t="s">
        <v>432</v>
      </c>
      <c r="L147" t="s">
        <v>436</v>
      </c>
      <c r="M147" t="s">
        <v>440</v>
      </c>
      <c r="N147" t="s">
        <v>444</v>
      </c>
      <c r="O147">
        <v>8</v>
      </c>
      <c r="P147">
        <v>48.12</v>
      </c>
    </row>
    <row r="148" spans="1:16">
      <c r="A148" t="s">
        <v>159</v>
      </c>
      <c r="B148">
        <v>61</v>
      </c>
      <c r="C148" t="s">
        <v>414</v>
      </c>
      <c r="D148" t="s">
        <v>418</v>
      </c>
      <c r="E148" t="s">
        <v>424</v>
      </c>
      <c r="F148" t="s">
        <v>428</v>
      </c>
      <c r="G148">
        <v>127.303</v>
      </c>
      <c r="H148">
        <v>88.394000000000005</v>
      </c>
      <c r="I148">
        <v>24</v>
      </c>
      <c r="J148">
        <v>3683.08</v>
      </c>
      <c r="K148" t="s">
        <v>433</v>
      </c>
      <c r="L148" t="s">
        <v>435</v>
      </c>
      <c r="M148" t="s">
        <v>442</v>
      </c>
      <c r="N148" t="s">
        <v>445</v>
      </c>
      <c r="O148">
        <v>6</v>
      </c>
      <c r="P148">
        <v>30.72</v>
      </c>
    </row>
    <row r="149" spans="1:16">
      <c r="A149" t="s">
        <v>160</v>
      </c>
      <c r="B149">
        <v>70</v>
      </c>
      <c r="C149" t="s">
        <v>413</v>
      </c>
      <c r="D149" t="s">
        <v>419</v>
      </c>
      <c r="E149" t="s">
        <v>425</v>
      </c>
      <c r="F149" t="s">
        <v>429</v>
      </c>
      <c r="G149">
        <v>75.786000000000001</v>
      </c>
      <c r="H149">
        <v>49.506</v>
      </c>
      <c r="I149">
        <v>37</v>
      </c>
      <c r="J149">
        <v>1023.42</v>
      </c>
      <c r="K149" t="s">
        <v>433</v>
      </c>
      <c r="L149" t="s">
        <v>434</v>
      </c>
      <c r="M149" t="s">
        <v>441</v>
      </c>
      <c r="N149" t="s">
        <v>444</v>
      </c>
      <c r="O149">
        <v>10</v>
      </c>
      <c r="P149">
        <v>29.08</v>
      </c>
    </row>
    <row r="150" spans="1:16">
      <c r="A150" t="s">
        <v>161</v>
      </c>
      <c r="B150">
        <v>35</v>
      </c>
      <c r="C150" t="s">
        <v>414</v>
      </c>
      <c r="D150" t="s">
        <v>416</v>
      </c>
      <c r="E150" t="s">
        <v>425</v>
      </c>
      <c r="F150" t="s">
        <v>429</v>
      </c>
      <c r="G150">
        <v>239.65600000000001</v>
      </c>
      <c r="H150">
        <v>62.095999999999997</v>
      </c>
      <c r="I150">
        <v>76</v>
      </c>
      <c r="J150">
        <v>1474.95</v>
      </c>
      <c r="K150" t="s">
        <v>433</v>
      </c>
      <c r="L150" t="s">
        <v>436</v>
      </c>
      <c r="M150" t="s">
        <v>440</v>
      </c>
      <c r="N150" t="s">
        <v>444</v>
      </c>
      <c r="O150">
        <v>4</v>
      </c>
      <c r="P150">
        <v>26.95</v>
      </c>
    </row>
    <row r="151" spans="1:16">
      <c r="A151" t="s">
        <v>162</v>
      </c>
      <c r="B151">
        <v>44</v>
      </c>
      <c r="C151" t="s">
        <v>414</v>
      </c>
      <c r="D151" t="s">
        <v>423</v>
      </c>
      <c r="E151" t="s">
        <v>424</v>
      </c>
      <c r="F151" t="s">
        <v>429</v>
      </c>
      <c r="G151">
        <v>144.75</v>
      </c>
      <c r="H151">
        <v>92.180999999999997</v>
      </c>
      <c r="I151">
        <v>9</v>
      </c>
      <c r="J151">
        <v>10242.33</v>
      </c>
      <c r="K151" t="s">
        <v>432</v>
      </c>
      <c r="L151" t="s">
        <v>434</v>
      </c>
      <c r="M151" t="s">
        <v>442</v>
      </c>
      <c r="N151" t="s">
        <v>444</v>
      </c>
      <c r="O151">
        <v>10</v>
      </c>
      <c r="P151">
        <v>39.64</v>
      </c>
    </row>
    <row r="152" spans="1:16">
      <c r="A152" t="s">
        <v>163</v>
      </c>
      <c r="B152">
        <v>57</v>
      </c>
      <c r="C152" t="s">
        <v>413</v>
      </c>
      <c r="D152" t="s">
        <v>422</v>
      </c>
      <c r="E152" t="s">
        <v>425</v>
      </c>
      <c r="F152" t="s">
        <v>428</v>
      </c>
      <c r="G152">
        <v>236.499</v>
      </c>
      <c r="H152">
        <v>45.167000000000002</v>
      </c>
      <c r="I152">
        <v>31</v>
      </c>
      <c r="J152">
        <v>1457</v>
      </c>
      <c r="K152" t="s">
        <v>433</v>
      </c>
      <c r="L152" t="s">
        <v>435</v>
      </c>
      <c r="M152" t="s">
        <v>438</v>
      </c>
      <c r="N152" t="s">
        <v>444</v>
      </c>
      <c r="O152">
        <v>7</v>
      </c>
      <c r="P152">
        <v>8.81</v>
      </c>
    </row>
    <row r="153" spans="1:16">
      <c r="A153" t="s">
        <v>164</v>
      </c>
      <c r="B153">
        <v>58</v>
      </c>
      <c r="C153" t="s">
        <v>413</v>
      </c>
      <c r="D153" t="s">
        <v>421</v>
      </c>
      <c r="E153" t="s">
        <v>425</v>
      </c>
      <c r="F153" t="s">
        <v>429</v>
      </c>
      <c r="G153">
        <v>139.596</v>
      </c>
      <c r="H153">
        <v>86.382999999999996</v>
      </c>
      <c r="I153">
        <v>34</v>
      </c>
      <c r="J153">
        <v>2540.6799999999998</v>
      </c>
      <c r="K153" t="s">
        <v>433</v>
      </c>
      <c r="L153" t="s">
        <v>437</v>
      </c>
      <c r="M153" t="s">
        <v>439</v>
      </c>
      <c r="N153" t="s">
        <v>443</v>
      </c>
      <c r="O153">
        <v>8</v>
      </c>
      <c r="P153">
        <v>4.95</v>
      </c>
    </row>
    <row r="154" spans="1:16">
      <c r="A154" t="s">
        <v>165</v>
      </c>
      <c r="B154">
        <v>34</v>
      </c>
      <c r="C154" t="s">
        <v>414</v>
      </c>
      <c r="D154" t="s">
        <v>417</v>
      </c>
      <c r="E154" t="s">
        <v>425</v>
      </c>
      <c r="F154" t="s">
        <v>428</v>
      </c>
      <c r="G154">
        <v>46.567</v>
      </c>
      <c r="H154">
        <v>29.419</v>
      </c>
      <c r="I154">
        <v>47</v>
      </c>
      <c r="J154">
        <v>625.94000000000005</v>
      </c>
      <c r="K154" t="s">
        <v>433</v>
      </c>
      <c r="L154" t="s">
        <v>436</v>
      </c>
      <c r="M154" t="s">
        <v>438</v>
      </c>
      <c r="N154" t="s">
        <v>443</v>
      </c>
      <c r="O154">
        <v>4</v>
      </c>
      <c r="P154">
        <v>48.42</v>
      </c>
    </row>
    <row r="155" spans="1:16">
      <c r="A155" t="s">
        <v>166</v>
      </c>
      <c r="B155">
        <v>34</v>
      </c>
      <c r="C155" t="s">
        <v>414</v>
      </c>
      <c r="D155" t="s">
        <v>419</v>
      </c>
      <c r="E155" t="s">
        <v>425</v>
      </c>
      <c r="F155" t="s">
        <v>429</v>
      </c>
      <c r="G155">
        <v>210.56899999999999</v>
      </c>
      <c r="H155">
        <v>70.506</v>
      </c>
      <c r="I155">
        <v>78</v>
      </c>
      <c r="J155">
        <v>652.83000000000004</v>
      </c>
      <c r="K155" t="s">
        <v>432</v>
      </c>
      <c r="L155" t="s">
        <v>435</v>
      </c>
      <c r="M155" t="s">
        <v>438</v>
      </c>
      <c r="N155" t="s">
        <v>444</v>
      </c>
      <c r="O155">
        <v>2</v>
      </c>
      <c r="P155">
        <v>33.869999999999997</v>
      </c>
    </row>
    <row r="156" spans="1:16">
      <c r="A156" t="s">
        <v>167</v>
      </c>
      <c r="B156">
        <v>40</v>
      </c>
      <c r="C156" t="s">
        <v>414</v>
      </c>
      <c r="D156" t="s">
        <v>423</v>
      </c>
      <c r="E156" t="s">
        <v>426</v>
      </c>
      <c r="F156" t="s">
        <v>429</v>
      </c>
      <c r="G156">
        <v>156.935</v>
      </c>
      <c r="H156">
        <v>93.763999999999996</v>
      </c>
      <c r="I156">
        <v>101</v>
      </c>
      <c r="J156">
        <v>928.36</v>
      </c>
      <c r="K156" t="s">
        <v>433</v>
      </c>
      <c r="L156" t="s">
        <v>435</v>
      </c>
      <c r="M156" t="s">
        <v>439</v>
      </c>
      <c r="N156" t="s">
        <v>444</v>
      </c>
      <c r="O156">
        <v>9</v>
      </c>
      <c r="P156">
        <v>8.09</v>
      </c>
    </row>
    <row r="157" spans="1:16">
      <c r="A157" t="s">
        <v>168</v>
      </c>
      <c r="B157">
        <v>40</v>
      </c>
      <c r="C157" t="s">
        <v>413</v>
      </c>
      <c r="D157" t="s">
        <v>420</v>
      </c>
      <c r="E157" t="s">
        <v>424</v>
      </c>
      <c r="F157" t="s">
        <v>431</v>
      </c>
      <c r="G157">
        <v>136.179</v>
      </c>
      <c r="H157">
        <v>6.0190000000000001</v>
      </c>
      <c r="I157">
        <v>51</v>
      </c>
      <c r="J157">
        <v>118.02</v>
      </c>
      <c r="K157" t="s">
        <v>432</v>
      </c>
      <c r="L157" t="s">
        <v>434</v>
      </c>
      <c r="M157" t="s">
        <v>438</v>
      </c>
      <c r="N157" t="s">
        <v>443</v>
      </c>
      <c r="O157">
        <v>5</v>
      </c>
      <c r="P157">
        <v>35.85</v>
      </c>
    </row>
    <row r="158" spans="1:16">
      <c r="A158" t="s">
        <v>169</v>
      </c>
      <c r="B158">
        <v>62</v>
      </c>
      <c r="C158" t="s">
        <v>414</v>
      </c>
      <c r="D158" t="s">
        <v>419</v>
      </c>
      <c r="E158" t="s">
        <v>424</v>
      </c>
      <c r="F158" t="s">
        <v>431</v>
      </c>
      <c r="G158">
        <v>102.38200000000001</v>
      </c>
      <c r="H158">
        <v>87.414000000000001</v>
      </c>
      <c r="I158">
        <v>108</v>
      </c>
      <c r="J158">
        <v>809.39</v>
      </c>
      <c r="K158" t="s">
        <v>432</v>
      </c>
      <c r="L158" t="s">
        <v>435</v>
      </c>
      <c r="M158" t="s">
        <v>441</v>
      </c>
      <c r="N158" t="s">
        <v>443</v>
      </c>
      <c r="O158">
        <v>8</v>
      </c>
      <c r="P158">
        <v>39.96</v>
      </c>
    </row>
    <row r="159" spans="1:16">
      <c r="A159" t="s">
        <v>170</v>
      </c>
      <c r="B159">
        <v>25</v>
      </c>
      <c r="C159" t="s">
        <v>414</v>
      </c>
      <c r="D159" t="s">
        <v>418</v>
      </c>
      <c r="E159" t="s">
        <v>424</v>
      </c>
      <c r="F159" t="s">
        <v>428</v>
      </c>
      <c r="G159">
        <v>132.964</v>
      </c>
      <c r="H159">
        <v>61.896000000000001</v>
      </c>
      <c r="I159">
        <v>50</v>
      </c>
      <c r="J159">
        <v>412.64</v>
      </c>
      <c r="K159" t="s">
        <v>432</v>
      </c>
      <c r="L159" t="s">
        <v>434</v>
      </c>
      <c r="M159" t="s">
        <v>439</v>
      </c>
      <c r="N159" t="s">
        <v>444</v>
      </c>
      <c r="O159">
        <v>2</v>
      </c>
      <c r="P159">
        <v>7.39</v>
      </c>
    </row>
    <row r="160" spans="1:16">
      <c r="A160" t="s">
        <v>171</v>
      </c>
      <c r="B160">
        <v>51</v>
      </c>
      <c r="C160" t="s">
        <v>413</v>
      </c>
      <c r="D160" t="s">
        <v>417</v>
      </c>
      <c r="E160" t="s">
        <v>424</v>
      </c>
      <c r="F160" t="s">
        <v>429</v>
      </c>
      <c r="G160">
        <v>108.81</v>
      </c>
      <c r="H160">
        <v>80.953999999999994</v>
      </c>
      <c r="I160">
        <v>10</v>
      </c>
      <c r="J160">
        <v>8095.4</v>
      </c>
      <c r="K160" t="s">
        <v>433</v>
      </c>
      <c r="L160" t="s">
        <v>435</v>
      </c>
      <c r="M160" t="s">
        <v>441</v>
      </c>
      <c r="N160" t="s">
        <v>445</v>
      </c>
      <c r="O160">
        <v>10</v>
      </c>
      <c r="P160">
        <v>17.54</v>
      </c>
    </row>
    <row r="161" spans="1:16">
      <c r="A161" t="s">
        <v>172</v>
      </c>
      <c r="B161">
        <v>21</v>
      </c>
      <c r="C161" t="s">
        <v>413</v>
      </c>
      <c r="D161" t="s">
        <v>417</v>
      </c>
      <c r="E161" t="s">
        <v>425</v>
      </c>
      <c r="F161" t="s">
        <v>428</v>
      </c>
      <c r="G161">
        <v>75.037999999999997</v>
      </c>
      <c r="H161">
        <v>41.207999999999998</v>
      </c>
      <c r="I161">
        <v>30</v>
      </c>
      <c r="J161">
        <v>1373.6</v>
      </c>
      <c r="K161" t="s">
        <v>433</v>
      </c>
      <c r="L161" t="s">
        <v>435</v>
      </c>
      <c r="M161" t="s">
        <v>440</v>
      </c>
      <c r="N161" t="s">
        <v>443</v>
      </c>
      <c r="O161">
        <v>1</v>
      </c>
      <c r="P161">
        <v>3.66</v>
      </c>
    </row>
    <row r="162" spans="1:16">
      <c r="A162" t="s">
        <v>173</v>
      </c>
      <c r="B162">
        <v>24</v>
      </c>
      <c r="C162" t="s">
        <v>413</v>
      </c>
      <c r="D162" t="s">
        <v>416</v>
      </c>
      <c r="E162" t="s">
        <v>424</v>
      </c>
      <c r="F162" t="s">
        <v>429</v>
      </c>
      <c r="G162">
        <v>31.196000000000002</v>
      </c>
      <c r="H162">
        <v>18.265000000000001</v>
      </c>
      <c r="I162">
        <v>64</v>
      </c>
      <c r="J162">
        <v>285.39</v>
      </c>
      <c r="K162" t="s">
        <v>433</v>
      </c>
      <c r="L162" t="s">
        <v>434</v>
      </c>
      <c r="M162" t="s">
        <v>439</v>
      </c>
      <c r="N162" t="s">
        <v>444</v>
      </c>
      <c r="O162">
        <v>3</v>
      </c>
      <c r="P162">
        <v>9.8699999999999992</v>
      </c>
    </row>
    <row r="163" spans="1:16">
      <c r="A163" t="s">
        <v>174</v>
      </c>
      <c r="B163">
        <v>31</v>
      </c>
      <c r="C163" t="s">
        <v>414</v>
      </c>
      <c r="D163" t="s">
        <v>421</v>
      </c>
      <c r="E163" t="s">
        <v>425</v>
      </c>
      <c r="F163" t="s">
        <v>430</v>
      </c>
      <c r="G163">
        <v>172.89500000000001</v>
      </c>
      <c r="H163">
        <v>55.404000000000003</v>
      </c>
      <c r="I163">
        <v>60</v>
      </c>
      <c r="J163">
        <v>923.4</v>
      </c>
      <c r="K163" t="s">
        <v>432</v>
      </c>
      <c r="L163" t="s">
        <v>435</v>
      </c>
      <c r="M163" t="s">
        <v>438</v>
      </c>
      <c r="N163" t="s">
        <v>445</v>
      </c>
      <c r="O163">
        <v>6</v>
      </c>
      <c r="P163">
        <v>27.69</v>
      </c>
    </row>
    <row r="164" spans="1:16">
      <c r="A164" t="s">
        <v>175</v>
      </c>
      <c r="B164">
        <v>73</v>
      </c>
      <c r="C164" t="s">
        <v>413</v>
      </c>
      <c r="D164" t="s">
        <v>423</v>
      </c>
      <c r="E164" t="s">
        <v>426</v>
      </c>
      <c r="F164" t="s">
        <v>431</v>
      </c>
      <c r="G164">
        <v>245.07599999999999</v>
      </c>
      <c r="H164">
        <v>61.651000000000003</v>
      </c>
      <c r="I164">
        <v>62</v>
      </c>
      <c r="J164">
        <v>994.37</v>
      </c>
      <c r="K164" t="s">
        <v>432</v>
      </c>
      <c r="L164" t="s">
        <v>435</v>
      </c>
      <c r="M164" t="s">
        <v>440</v>
      </c>
      <c r="N164" t="s">
        <v>445</v>
      </c>
      <c r="O164">
        <v>4</v>
      </c>
      <c r="P164">
        <v>46.75</v>
      </c>
    </row>
    <row r="165" spans="1:16">
      <c r="A165" t="s">
        <v>176</v>
      </c>
      <c r="B165">
        <v>66</v>
      </c>
      <c r="C165" t="s">
        <v>414</v>
      </c>
      <c r="D165" t="s">
        <v>419</v>
      </c>
      <c r="E165" t="s">
        <v>424</v>
      </c>
      <c r="F165" t="s">
        <v>429</v>
      </c>
      <c r="G165">
        <v>233.58799999999999</v>
      </c>
      <c r="H165">
        <v>83.631</v>
      </c>
      <c r="I165">
        <v>78</v>
      </c>
      <c r="J165">
        <v>1072.19</v>
      </c>
      <c r="K165" t="s">
        <v>433</v>
      </c>
      <c r="L165" t="s">
        <v>437</v>
      </c>
      <c r="M165" t="s">
        <v>438</v>
      </c>
      <c r="N165" t="s">
        <v>443</v>
      </c>
      <c r="O165">
        <v>7</v>
      </c>
      <c r="P165">
        <v>28.99</v>
      </c>
    </row>
    <row r="166" spans="1:16">
      <c r="A166" t="s">
        <v>177</v>
      </c>
      <c r="B166">
        <v>60</v>
      </c>
      <c r="C166" t="s">
        <v>413</v>
      </c>
      <c r="D166" t="s">
        <v>421</v>
      </c>
      <c r="E166" t="s">
        <v>424</v>
      </c>
      <c r="F166" t="s">
        <v>431</v>
      </c>
      <c r="G166">
        <v>167.83500000000001</v>
      </c>
      <c r="H166">
        <v>134.34700000000001</v>
      </c>
      <c r="I166">
        <v>62</v>
      </c>
      <c r="J166">
        <v>553.98</v>
      </c>
      <c r="K166" t="s">
        <v>432</v>
      </c>
      <c r="L166" t="s">
        <v>435</v>
      </c>
      <c r="M166" t="s">
        <v>439</v>
      </c>
      <c r="N166" t="s">
        <v>443</v>
      </c>
      <c r="O166">
        <v>8</v>
      </c>
      <c r="P166">
        <v>9.48</v>
      </c>
    </row>
    <row r="167" spans="1:16">
      <c r="A167" t="s">
        <v>178</v>
      </c>
      <c r="B167">
        <v>48</v>
      </c>
      <c r="C167" t="s">
        <v>414</v>
      </c>
      <c r="D167" t="s">
        <v>416</v>
      </c>
      <c r="E167" t="s">
        <v>424</v>
      </c>
      <c r="F167" t="s">
        <v>428</v>
      </c>
      <c r="G167">
        <v>185.78800000000001</v>
      </c>
      <c r="H167">
        <v>26.457999999999998</v>
      </c>
      <c r="I167">
        <v>11</v>
      </c>
      <c r="J167">
        <v>2405.27</v>
      </c>
      <c r="K167" t="s">
        <v>432</v>
      </c>
      <c r="L167" t="s">
        <v>436</v>
      </c>
      <c r="M167" t="s">
        <v>442</v>
      </c>
      <c r="N167" t="s">
        <v>444</v>
      </c>
      <c r="O167">
        <v>3</v>
      </c>
      <c r="P167">
        <v>18.38</v>
      </c>
    </row>
    <row r="168" spans="1:16">
      <c r="A168" t="s">
        <v>179</v>
      </c>
      <c r="B168">
        <v>75</v>
      </c>
      <c r="C168" t="s">
        <v>414</v>
      </c>
      <c r="D168" t="s">
        <v>422</v>
      </c>
      <c r="E168" t="s">
        <v>424</v>
      </c>
      <c r="F168" t="s">
        <v>429</v>
      </c>
      <c r="G168">
        <v>148.39599999999999</v>
      </c>
      <c r="H168">
        <v>61.62</v>
      </c>
      <c r="I168">
        <v>70</v>
      </c>
      <c r="J168">
        <v>560.17999999999995</v>
      </c>
      <c r="K168" t="s">
        <v>432</v>
      </c>
      <c r="L168" t="s">
        <v>434</v>
      </c>
      <c r="M168" t="s">
        <v>441</v>
      </c>
      <c r="N168" t="s">
        <v>444</v>
      </c>
      <c r="O168">
        <v>8</v>
      </c>
      <c r="P168">
        <v>0.64</v>
      </c>
    </row>
    <row r="169" spans="1:16">
      <c r="A169" t="s">
        <v>180</v>
      </c>
      <c r="B169">
        <v>45</v>
      </c>
      <c r="C169" t="s">
        <v>413</v>
      </c>
      <c r="D169" t="s">
        <v>420</v>
      </c>
      <c r="E169" t="s">
        <v>424</v>
      </c>
      <c r="F169" t="s">
        <v>429</v>
      </c>
      <c r="G169">
        <v>67.692999999999998</v>
      </c>
      <c r="H169">
        <v>26.295999999999999</v>
      </c>
      <c r="I169">
        <v>7</v>
      </c>
      <c r="J169">
        <v>13756.57</v>
      </c>
      <c r="K169" t="s">
        <v>432</v>
      </c>
      <c r="L169" t="s">
        <v>435</v>
      </c>
      <c r="M169" t="s">
        <v>440</v>
      </c>
      <c r="N169" t="s">
        <v>443</v>
      </c>
      <c r="O169">
        <v>1</v>
      </c>
      <c r="P169">
        <v>13.09</v>
      </c>
    </row>
    <row r="170" spans="1:16">
      <c r="A170" t="s">
        <v>181</v>
      </c>
      <c r="B170">
        <v>58</v>
      </c>
      <c r="C170" t="s">
        <v>413</v>
      </c>
      <c r="D170" t="s">
        <v>420</v>
      </c>
      <c r="E170" t="s">
        <v>425</v>
      </c>
      <c r="F170" t="s">
        <v>429</v>
      </c>
      <c r="G170">
        <v>135.69300000000001</v>
      </c>
      <c r="H170">
        <v>39.817</v>
      </c>
      <c r="I170">
        <v>25</v>
      </c>
      <c r="J170">
        <v>798.54</v>
      </c>
      <c r="K170" t="s">
        <v>433</v>
      </c>
      <c r="L170" t="s">
        <v>435</v>
      </c>
      <c r="M170" t="s">
        <v>439</v>
      </c>
      <c r="N170" t="s">
        <v>444</v>
      </c>
      <c r="O170">
        <v>8</v>
      </c>
      <c r="P170">
        <v>5.94</v>
      </c>
    </row>
    <row r="171" spans="1:16">
      <c r="A171" t="s">
        <v>182</v>
      </c>
      <c r="B171">
        <v>56</v>
      </c>
      <c r="C171" t="s">
        <v>414</v>
      </c>
      <c r="D171" t="s">
        <v>422</v>
      </c>
      <c r="E171" t="s">
        <v>425</v>
      </c>
      <c r="F171" t="s">
        <v>431</v>
      </c>
      <c r="G171">
        <v>84.543000000000006</v>
      </c>
      <c r="H171">
        <v>88.3</v>
      </c>
      <c r="I171">
        <v>64</v>
      </c>
      <c r="J171">
        <v>1379.69</v>
      </c>
      <c r="K171" t="s">
        <v>433</v>
      </c>
      <c r="L171" t="s">
        <v>435</v>
      </c>
      <c r="M171" t="s">
        <v>441</v>
      </c>
      <c r="N171" t="s">
        <v>443</v>
      </c>
      <c r="O171">
        <v>5</v>
      </c>
      <c r="P171">
        <v>12.94</v>
      </c>
    </row>
    <row r="172" spans="1:16">
      <c r="A172" t="s">
        <v>183</v>
      </c>
      <c r="B172">
        <v>37</v>
      </c>
      <c r="C172" t="s">
        <v>414</v>
      </c>
      <c r="D172" t="s">
        <v>420</v>
      </c>
      <c r="E172" t="s">
        <v>425</v>
      </c>
      <c r="F172" t="s">
        <v>429</v>
      </c>
      <c r="G172">
        <v>244.98699999999999</v>
      </c>
      <c r="H172">
        <v>78.733000000000004</v>
      </c>
      <c r="I172">
        <v>90</v>
      </c>
      <c r="J172">
        <v>874.81</v>
      </c>
      <c r="K172" t="s">
        <v>432</v>
      </c>
      <c r="L172" t="s">
        <v>435</v>
      </c>
      <c r="M172" t="s">
        <v>439</v>
      </c>
      <c r="N172" t="s">
        <v>443</v>
      </c>
      <c r="O172">
        <v>9</v>
      </c>
      <c r="P172">
        <v>32.119999999999997</v>
      </c>
    </row>
    <row r="173" spans="1:16">
      <c r="A173" t="s">
        <v>184</v>
      </c>
      <c r="B173">
        <v>69</v>
      </c>
      <c r="C173" t="s">
        <v>414</v>
      </c>
      <c r="D173" t="s">
        <v>419</v>
      </c>
      <c r="E173" t="s">
        <v>424</v>
      </c>
      <c r="F173" t="s">
        <v>428</v>
      </c>
      <c r="G173">
        <v>141.393</v>
      </c>
      <c r="H173">
        <v>28.933</v>
      </c>
      <c r="I173">
        <v>37</v>
      </c>
      <c r="J173">
        <v>3214.41</v>
      </c>
      <c r="K173" t="s">
        <v>433</v>
      </c>
      <c r="L173" t="s">
        <v>435</v>
      </c>
      <c r="M173" t="s">
        <v>441</v>
      </c>
      <c r="N173" t="s">
        <v>444</v>
      </c>
      <c r="O173">
        <v>8</v>
      </c>
      <c r="P173">
        <v>23.15</v>
      </c>
    </row>
    <row r="174" spans="1:16">
      <c r="A174" t="s">
        <v>185</v>
      </c>
      <c r="B174">
        <v>52</v>
      </c>
      <c r="C174" t="s">
        <v>413</v>
      </c>
      <c r="D174" t="s">
        <v>416</v>
      </c>
      <c r="E174" t="s">
        <v>425</v>
      </c>
      <c r="F174" t="s">
        <v>429</v>
      </c>
      <c r="G174">
        <v>79.78</v>
      </c>
      <c r="H174">
        <v>73.225999999999999</v>
      </c>
      <c r="I174">
        <v>59</v>
      </c>
      <c r="J174">
        <v>1241.1199999999999</v>
      </c>
      <c r="K174" t="s">
        <v>432</v>
      </c>
      <c r="L174" t="s">
        <v>435</v>
      </c>
      <c r="M174" t="s">
        <v>442</v>
      </c>
      <c r="N174" t="s">
        <v>444</v>
      </c>
      <c r="O174">
        <v>7</v>
      </c>
      <c r="P174">
        <v>29.81</v>
      </c>
    </row>
    <row r="175" spans="1:16">
      <c r="A175" t="s">
        <v>186</v>
      </c>
      <c r="B175">
        <v>56</v>
      </c>
      <c r="C175" t="s">
        <v>413</v>
      </c>
      <c r="D175" t="s">
        <v>420</v>
      </c>
      <c r="E175" t="s">
        <v>425</v>
      </c>
      <c r="F175" t="s">
        <v>431</v>
      </c>
      <c r="G175">
        <v>166.726</v>
      </c>
      <c r="H175">
        <v>49.207000000000001</v>
      </c>
      <c r="I175">
        <v>32</v>
      </c>
      <c r="J175">
        <v>1064.3499999999999</v>
      </c>
      <c r="K175" t="s">
        <v>432</v>
      </c>
      <c r="L175" t="s">
        <v>435</v>
      </c>
      <c r="M175" t="s">
        <v>439</v>
      </c>
      <c r="N175" t="s">
        <v>445</v>
      </c>
      <c r="O175">
        <v>2</v>
      </c>
      <c r="P175">
        <v>25.65</v>
      </c>
    </row>
    <row r="176" spans="1:16">
      <c r="A176" t="s">
        <v>187</v>
      </c>
      <c r="B176">
        <v>75</v>
      </c>
      <c r="C176" t="s">
        <v>413</v>
      </c>
      <c r="D176" t="s">
        <v>418</v>
      </c>
      <c r="E176" t="s">
        <v>424</v>
      </c>
      <c r="F176" t="s">
        <v>429</v>
      </c>
      <c r="G176">
        <v>157.214</v>
      </c>
      <c r="H176">
        <v>31.866</v>
      </c>
      <c r="I176">
        <v>92</v>
      </c>
      <c r="J176">
        <v>346.37</v>
      </c>
      <c r="K176" t="s">
        <v>432</v>
      </c>
      <c r="L176" t="s">
        <v>434</v>
      </c>
      <c r="M176" t="s">
        <v>440</v>
      </c>
      <c r="N176" t="s">
        <v>443</v>
      </c>
      <c r="O176">
        <v>3</v>
      </c>
      <c r="P176">
        <v>24.44</v>
      </c>
    </row>
    <row r="177" spans="1:16">
      <c r="A177" t="s">
        <v>188</v>
      </c>
      <c r="B177">
        <v>57</v>
      </c>
      <c r="C177" t="s">
        <v>414</v>
      </c>
      <c r="D177" t="s">
        <v>423</v>
      </c>
      <c r="E177" t="s">
        <v>425</v>
      </c>
      <c r="F177" t="s">
        <v>429</v>
      </c>
      <c r="G177">
        <v>69.619</v>
      </c>
      <c r="H177">
        <v>7.6269999999999998</v>
      </c>
      <c r="I177">
        <v>27</v>
      </c>
      <c r="J177">
        <v>60.06</v>
      </c>
      <c r="K177" t="s">
        <v>432</v>
      </c>
      <c r="L177" t="s">
        <v>435</v>
      </c>
      <c r="M177" t="s">
        <v>441</v>
      </c>
      <c r="N177" t="s">
        <v>443</v>
      </c>
      <c r="O177">
        <v>5</v>
      </c>
      <c r="P177">
        <v>7.15</v>
      </c>
    </row>
    <row r="178" spans="1:16">
      <c r="A178" t="s">
        <v>189</v>
      </c>
      <c r="B178">
        <v>61</v>
      </c>
      <c r="C178" t="s">
        <v>414</v>
      </c>
      <c r="D178" t="s">
        <v>420</v>
      </c>
      <c r="E178" t="s">
        <v>427</v>
      </c>
      <c r="F178" t="s">
        <v>428</v>
      </c>
      <c r="G178">
        <v>43.337000000000003</v>
      </c>
      <c r="H178">
        <v>5.6929999999999996</v>
      </c>
      <c r="I178">
        <v>81</v>
      </c>
      <c r="J178">
        <v>70.28</v>
      </c>
      <c r="K178" t="s">
        <v>432</v>
      </c>
      <c r="L178" t="s">
        <v>435</v>
      </c>
      <c r="M178" t="s">
        <v>442</v>
      </c>
      <c r="N178" t="s">
        <v>445</v>
      </c>
      <c r="O178">
        <v>10</v>
      </c>
      <c r="P178">
        <v>25.01</v>
      </c>
    </row>
    <row r="179" spans="1:16">
      <c r="A179" t="s">
        <v>190</v>
      </c>
      <c r="B179">
        <v>75</v>
      </c>
      <c r="C179" t="s">
        <v>414</v>
      </c>
      <c r="D179" t="s">
        <v>422</v>
      </c>
      <c r="E179" t="s">
        <v>424</v>
      </c>
      <c r="F179" t="s">
        <v>431</v>
      </c>
      <c r="G179">
        <v>247.73500000000001</v>
      </c>
      <c r="H179">
        <v>45.558999999999997</v>
      </c>
      <c r="I179">
        <v>82</v>
      </c>
      <c r="J179">
        <v>1165.3499999999999</v>
      </c>
      <c r="K179" t="s">
        <v>432</v>
      </c>
      <c r="L179" t="s">
        <v>434</v>
      </c>
      <c r="M179" t="s">
        <v>440</v>
      </c>
      <c r="N179" t="s">
        <v>444</v>
      </c>
      <c r="O179">
        <v>1</v>
      </c>
      <c r="P179">
        <v>4.84</v>
      </c>
    </row>
    <row r="180" spans="1:16">
      <c r="A180" t="s">
        <v>191</v>
      </c>
      <c r="B180">
        <v>69</v>
      </c>
      <c r="C180" t="s">
        <v>414</v>
      </c>
      <c r="D180" t="s">
        <v>419</v>
      </c>
      <c r="E180" t="s">
        <v>424</v>
      </c>
      <c r="F180" t="s">
        <v>428</v>
      </c>
      <c r="G180">
        <v>65.88</v>
      </c>
      <c r="H180">
        <v>40.588000000000001</v>
      </c>
      <c r="I180">
        <v>73</v>
      </c>
      <c r="J180">
        <v>556</v>
      </c>
      <c r="K180" t="s">
        <v>432</v>
      </c>
      <c r="L180" t="s">
        <v>437</v>
      </c>
      <c r="M180" t="s">
        <v>440</v>
      </c>
      <c r="N180" t="s">
        <v>443</v>
      </c>
      <c r="O180">
        <v>2</v>
      </c>
      <c r="P180">
        <v>49.98</v>
      </c>
    </row>
    <row r="181" spans="1:16">
      <c r="A181" t="s">
        <v>192</v>
      </c>
      <c r="B181">
        <v>34</v>
      </c>
      <c r="C181" t="s">
        <v>414</v>
      </c>
      <c r="D181" t="s">
        <v>417</v>
      </c>
      <c r="E181" t="s">
        <v>424</v>
      </c>
      <c r="F181" t="s">
        <v>429</v>
      </c>
      <c r="G181">
        <v>188.19300000000001</v>
      </c>
      <c r="H181">
        <v>74.736000000000004</v>
      </c>
      <c r="I181">
        <v>51</v>
      </c>
      <c r="J181">
        <v>2249.73</v>
      </c>
      <c r="K181" t="s">
        <v>432</v>
      </c>
      <c r="L181" t="s">
        <v>434</v>
      </c>
      <c r="M181" t="s">
        <v>439</v>
      </c>
      <c r="N181" t="s">
        <v>445</v>
      </c>
      <c r="O181">
        <v>4</v>
      </c>
      <c r="P181">
        <v>43.38</v>
      </c>
    </row>
    <row r="182" spans="1:16">
      <c r="A182" t="s">
        <v>193</v>
      </c>
      <c r="B182">
        <v>20</v>
      </c>
      <c r="C182" t="s">
        <v>413</v>
      </c>
      <c r="D182" t="s">
        <v>416</v>
      </c>
      <c r="E182" t="s">
        <v>424</v>
      </c>
      <c r="F182" t="s">
        <v>429</v>
      </c>
      <c r="G182">
        <v>155.428</v>
      </c>
      <c r="H182">
        <v>42.247999999999998</v>
      </c>
      <c r="I182">
        <v>66</v>
      </c>
      <c r="J182">
        <v>640.12</v>
      </c>
      <c r="K182" t="s">
        <v>433</v>
      </c>
      <c r="L182" t="s">
        <v>434</v>
      </c>
      <c r="M182" t="s">
        <v>441</v>
      </c>
      <c r="N182" t="s">
        <v>443</v>
      </c>
      <c r="O182">
        <v>1</v>
      </c>
      <c r="P182">
        <v>27.38</v>
      </c>
    </row>
    <row r="183" spans="1:16">
      <c r="A183" t="s">
        <v>194</v>
      </c>
      <c r="B183">
        <v>19</v>
      </c>
      <c r="C183" t="s">
        <v>414</v>
      </c>
      <c r="D183" t="s">
        <v>418</v>
      </c>
      <c r="E183" t="s">
        <v>425</v>
      </c>
      <c r="F183" t="s">
        <v>431</v>
      </c>
      <c r="G183">
        <v>201.22</v>
      </c>
      <c r="H183">
        <v>44.661999999999999</v>
      </c>
      <c r="I183">
        <v>39</v>
      </c>
      <c r="J183">
        <v>752.96</v>
      </c>
      <c r="K183" t="s">
        <v>432</v>
      </c>
      <c r="L183" t="s">
        <v>436</v>
      </c>
      <c r="M183" t="s">
        <v>442</v>
      </c>
      <c r="N183" t="s">
        <v>445</v>
      </c>
      <c r="O183">
        <v>7</v>
      </c>
      <c r="P183">
        <v>4.24</v>
      </c>
    </row>
    <row r="184" spans="1:16">
      <c r="A184" t="s">
        <v>195</v>
      </c>
      <c r="B184">
        <v>71</v>
      </c>
      <c r="C184" t="s">
        <v>413</v>
      </c>
      <c r="D184" t="s">
        <v>416</v>
      </c>
      <c r="E184" t="s">
        <v>426</v>
      </c>
      <c r="F184" t="s">
        <v>428</v>
      </c>
      <c r="G184">
        <v>176.78700000000001</v>
      </c>
      <c r="H184">
        <v>45.543999999999997</v>
      </c>
      <c r="I184">
        <v>30</v>
      </c>
      <c r="J184">
        <v>350.34</v>
      </c>
      <c r="K184" t="s">
        <v>433</v>
      </c>
      <c r="L184" t="s">
        <v>436</v>
      </c>
      <c r="M184" t="s">
        <v>438</v>
      </c>
      <c r="N184" t="s">
        <v>444</v>
      </c>
      <c r="O184">
        <v>1</v>
      </c>
      <c r="P184">
        <v>32.19</v>
      </c>
    </row>
    <row r="185" spans="1:16">
      <c r="A185" t="s">
        <v>196</v>
      </c>
      <c r="B185">
        <v>37</v>
      </c>
      <c r="C185" t="s">
        <v>414</v>
      </c>
      <c r="D185" t="s">
        <v>423</v>
      </c>
      <c r="E185" t="s">
        <v>426</v>
      </c>
      <c r="F185" t="s">
        <v>428</v>
      </c>
      <c r="G185">
        <v>60.143999999999998</v>
      </c>
      <c r="H185">
        <v>16.702999999999999</v>
      </c>
      <c r="I185">
        <v>33</v>
      </c>
      <c r="J185">
        <v>506.15</v>
      </c>
      <c r="K185" t="s">
        <v>432</v>
      </c>
      <c r="L185" t="s">
        <v>435</v>
      </c>
      <c r="M185" t="s">
        <v>440</v>
      </c>
      <c r="N185" t="s">
        <v>444</v>
      </c>
      <c r="O185">
        <v>6</v>
      </c>
      <c r="P185">
        <v>39.909999999999997</v>
      </c>
    </row>
    <row r="186" spans="1:16">
      <c r="A186" t="s">
        <v>197</v>
      </c>
      <c r="B186">
        <v>31</v>
      </c>
      <c r="C186" t="s">
        <v>413</v>
      </c>
      <c r="D186" t="s">
        <v>417</v>
      </c>
      <c r="E186" t="s">
        <v>424</v>
      </c>
      <c r="F186" t="s">
        <v>430</v>
      </c>
      <c r="G186">
        <v>113.27500000000001</v>
      </c>
      <c r="H186">
        <v>31.026</v>
      </c>
      <c r="I186">
        <v>44</v>
      </c>
      <c r="J186">
        <v>298.33</v>
      </c>
      <c r="K186" t="s">
        <v>432</v>
      </c>
      <c r="L186" t="s">
        <v>435</v>
      </c>
      <c r="M186" t="s">
        <v>442</v>
      </c>
      <c r="N186" t="s">
        <v>444</v>
      </c>
      <c r="O186">
        <v>2</v>
      </c>
      <c r="P186">
        <v>7.33</v>
      </c>
    </row>
    <row r="187" spans="1:16">
      <c r="A187" t="s">
        <v>198</v>
      </c>
      <c r="B187">
        <v>63</v>
      </c>
      <c r="C187" t="s">
        <v>413</v>
      </c>
      <c r="D187" t="s">
        <v>423</v>
      </c>
      <c r="E187" t="s">
        <v>425</v>
      </c>
      <c r="F187" t="s">
        <v>431</v>
      </c>
      <c r="G187">
        <v>27.63</v>
      </c>
      <c r="H187">
        <v>75.802000000000007</v>
      </c>
      <c r="I187">
        <v>90</v>
      </c>
      <c r="J187">
        <v>842.24</v>
      </c>
      <c r="K187" t="s">
        <v>433</v>
      </c>
      <c r="L187" t="s">
        <v>434</v>
      </c>
      <c r="M187" t="s">
        <v>438</v>
      </c>
      <c r="N187" t="s">
        <v>443</v>
      </c>
      <c r="O187">
        <v>8</v>
      </c>
      <c r="P187">
        <v>16.32</v>
      </c>
    </row>
    <row r="188" spans="1:16">
      <c r="A188" t="s">
        <v>199</v>
      </c>
      <c r="B188">
        <v>32</v>
      </c>
      <c r="C188" t="s">
        <v>413</v>
      </c>
      <c r="D188" t="s">
        <v>417</v>
      </c>
      <c r="E188" t="s">
        <v>424</v>
      </c>
      <c r="F188" t="s">
        <v>428</v>
      </c>
      <c r="G188">
        <v>119.226</v>
      </c>
      <c r="H188">
        <v>56.418999999999997</v>
      </c>
      <c r="I188">
        <v>63</v>
      </c>
      <c r="J188">
        <v>1371.73</v>
      </c>
      <c r="K188" t="s">
        <v>432</v>
      </c>
      <c r="L188" t="s">
        <v>435</v>
      </c>
      <c r="M188" t="s">
        <v>442</v>
      </c>
      <c r="N188" t="s">
        <v>445</v>
      </c>
      <c r="O188">
        <v>2</v>
      </c>
      <c r="P188">
        <v>48.25</v>
      </c>
    </row>
    <row r="189" spans="1:16">
      <c r="A189" t="s">
        <v>200</v>
      </c>
      <c r="B189">
        <v>72</v>
      </c>
      <c r="C189" t="s">
        <v>414</v>
      </c>
      <c r="D189" t="s">
        <v>422</v>
      </c>
      <c r="E189" t="s">
        <v>427</v>
      </c>
      <c r="F189" t="s">
        <v>428</v>
      </c>
      <c r="G189">
        <v>122.98399999999999</v>
      </c>
      <c r="H189">
        <v>85.94</v>
      </c>
      <c r="I189">
        <v>55</v>
      </c>
      <c r="J189">
        <v>1562.55</v>
      </c>
      <c r="K189" t="s">
        <v>433</v>
      </c>
      <c r="L189" t="s">
        <v>436</v>
      </c>
      <c r="M189" t="s">
        <v>438</v>
      </c>
      <c r="N189" t="s">
        <v>444</v>
      </c>
      <c r="O189">
        <v>1</v>
      </c>
      <c r="P189">
        <v>40.25</v>
      </c>
    </row>
    <row r="190" spans="1:16">
      <c r="A190" t="s">
        <v>201</v>
      </c>
      <c r="B190">
        <v>71</v>
      </c>
      <c r="C190" t="s">
        <v>413</v>
      </c>
      <c r="D190" t="s">
        <v>422</v>
      </c>
      <c r="E190" t="s">
        <v>424</v>
      </c>
      <c r="F190" t="s">
        <v>428</v>
      </c>
      <c r="G190">
        <v>168.214</v>
      </c>
      <c r="H190">
        <v>11.473000000000001</v>
      </c>
      <c r="I190">
        <v>32</v>
      </c>
      <c r="J190">
        <v>3483.53</v>
      </c>
      <c r="K190" t="s">
        <v>433</v>
      </c>
      <c r="L190" t="s">
        <v>435</v>
      </c>
      <c r="M190" t="s">
        <v>442</v>
      </c>
      <c r="N190" t="s">
        <v>443</v>
      </c>
      <c r="O190">
        <v>6</v>
      </c>
      <c r="P190">
        <v>1.44</v>
      </c>
    </row>
    <row r="191" spans="1:16">
      <c r="A191" t="s">
        <v>202</v>
      </c>
      <c r="B191">
        <v>28</v>
      </c>
      <c r="C191" t="s">
        <v>413</v>
      </c>
      <c r="D191" t="s">
        <v>422</v>
      </c>
      <c r="E191" t="s">
        <v>425</v>
      </c>
      <c r="F191" t="s">
        <v>430</v>
      </c>
      <c r="G191">
        <v>87.096000000000004</v>
      </c>
      <c r="H191">
        <v>53.555999999999997</v>
      </c>
      <c r="I191">
        <v>70</v>
      </c>
      <c r="J191">
        <v>535.55999999999995</v>
      </c>
      <c r="K191" t="s">
        <v>432</v>
      </c>
      <c r="L191" t="s">
        <v>435</v>
      </c>
      <c r="M191" t="s">
        <v>440</v>
      </c>
      <c r="N191" t="s">
        <v>443</v>
      </c>
      <c r="O191">
        <v>4</v>
      </c>
      <c r="P191">
        <v>38.72</v>
      </c>
    </row>
    <row r="192" spans="1:16">
      <c r="A192" t="s">
        <v>203</v>
      </c>
      <c r="B192">
        <v>58</v>
      </c>
      <c r="C192" t="s">
        <v>413</v>
      </c>
      <c r="D192" t="s">
        <v>421</v>
      </c>
      <c r="E192" t="s">
        <v>425</v>
      </c>
      <c r="F192" t="s">
        <v>429</v>
      </c>
      <c r="G192">
        <v>190.64599999999999</v>
      </c>
      <c r="H192">
        <v>32.177</v>
      </c>
      <c r="I192">
        <v>24</v>
      </c>
      <c r="J192">
        <v>1340.71</v>
      </c>
      <c r="K192" t="s">
        <v>432</v>
      </c>
      <c r="L192" t="s">
        <v>437</v>
      </c>
      <c r="M192" t="s">
        <v>439</v>
      </c>
      <c r="N192" t="s">
        <v>444</v>
      </c>
      <c r="O192">
        <v>5</v>
      </c>
      <c r="P192">
        <v>9.57</v>
      </c>
    </row>
    <row r="193" spans="1:16">
      <c r="A193" t="s">
        <v>204</v>
      </c>
      <c r="B193">
        <v>28</v>
      </c>
      <c r="C193" t="s">
        <v>414</v>
      </c>
      <c r="D193" t="s">
        <v>420</v>
      </c>
      <c r="E193" t="s">
        <v>424</v>
      </c>
      <c r="F193" t="s">
        <v>429</v>
      </c>
      <c r="G193">
        <v>107.86199999999999</v>
      </c>
      <c r="H193">
        <v>21.138000000000002</v>
      </c>
      <c r="I193">
        <v>18</v>
      </c>
      <c r="J193">
        <v>142.82</v>
      </c>
      <c r="K193" t="s">
        <v>433</v>
      </c>
      <c r="L193" t="s">
        <v>436</v>
      </c>
      <c r="M193" t="s">
        <v>442</v>
      </c>
      <c r="N193" t="s">
        <v>444</v>
      </c>
      <c r="O193">
        <v>4</v>
      </c>
      <c r="P193">
        <v>26.65</v>
      </c>
    </row>
    <row r="194" spans="1:16">
      <c r="A194" t="s">
        <v>205</v>
      </c>
      <c r="B194">
        <v>63</v>
      </c>
      <c r="C194" t="s">
        <v>413</v>
      </c>
      <c r="D194" t="s">
        <v>419</v>
      </c>
      <c r="E194" t="s">
        <v>424</v>
      </c>
      <c r="F194" t="s">
        <v>431</v>
      </c>
      <c r="G194">
        <v>234.42599999999999</v>
      </c>
      <c r="H194">
        <v>15.818</v>
      </c>
      <c r="I194">
        <v>63</v>
      </c>
      <c r="J194">
        <v>251.08</v>
      </c>
      <c r="K194" t="s">
        <v>433</v>
      </c>
      <c r="L194" t="s">
        <v>436</v>
      </c>
      <c r="M194" t="s">
        <v>440</v>
      </c>
      <c r="N194" t="s">
        <v>444</v>
      </c>
      <c r="O194">
        <v>6</v>
      </c>
      <c r="P194">
        <v>3.27</v>
      </c>
    </row>
    <row r="195" spans="1:16">
      <c r="A195" t="s">
        <v>206</v>
      </c>
      <c r="B195">
        <v>51</v>
      </c>
      <c r="C195" t="s">
        <v>414</v>
      </c>
      <c r="D195" t="s">
        <v>421</v>
      </c>
      <c r="E195" t="s">
        <v>425</v>
      </c>
      <c r="F195" t="s">
        <v>431</v>
      </c>
      <c r="G195">
        <v>142.24199999999999</v>
      </c>
      <c r="H195">
        <v>22.971</v>
      </c>
      <c r="I195">
        <v>106</v>
      </c>
      <c r="J195">
        <v>1065.76</v>
      </c>
      <c r="K195" t="s">
        <v>432</v>
      </c>
      <c r="L195" t="s">
        <v>435</v>
      </c>
      <c r="M195" t="s">
        <v>439</v>
      </c>
      <c r="N195" t="s">
        <v>445</v>
      </c>
      <c r="O195">
        <v>7</v>
      </c>
      <c r="P195">
        <v>39.119999999999997</v>
      </c>
    </row>
    <row r="196" spans="1:16">
      <c r="A196" t="s">
        <v>207</v>
      </c>
      <c r="B196">
        <v>75</v>
      </c>
      <c r="C196" t="s">
        <v>414</v>
      </c>
      <c r="D196" t="s">
        <v>421</v>
      </c>
      <c r="E196" t="s">
        <v>424</v>
      </c>
      <c r="F196" t="s">
        <v>429</v>
      </c>
      <c r="G196">
        <v>93.769000000000005</v>
      </c>
      <c r="H196">
        <v>84.477999999999994</v>
      </c>
      <c r="I196">
        <v>70</v>
      </c>
      <c r="J196">
        <v>1206.83</v>
      </c>
      <c r="K196" t="s">
        <v>432</v>
      </c>
      <c r="L196" t="s">
        <v>434</v>
      </c>
      <c r="M196" t="s">
        <v>440</v>
      </c>
      <c r="N196" t="s">
        <v>443</v>
      </c>
      <c r="O196">
        <v>1</v>
      </c>
      <c r="P196">
        <v>21.42</v>
      </c>
    </row>
    <row r="197" spans="1:16">
      <c r="A197" t="s">
        <v>208</v>
      </c>
      <c r="B197">
        <v>69</v>
      </c>
      <c r="C197" t="s">
        <v>415</v>
      </c>
      <c r="D197" t="s">
        <v>423</v>
      </c>
      <c r="E197" t="s">
        <v>426</v>
      </c>
      <c r="F197" t="s">
        <v>429</v>
      </c>
      <c r="G197">
        <v>190.30799999999999</v>
      </c>
      <c r="H197">
        <v>21.079000000000001</v>
      </c>
      <c r="I197">
        <v>116</v>
      </c>
      <c r="J197">
        <v>181.72</v>
      </c>
      <c r="K197" t="s">
        <v>433</v>
      </c>
      <c r="L197" t="s">
        <v>434</v>
      </c>
      <c r="M197" t="s">
        <v>439</v>
      </c>
      <c r="N197" t="s">
        <v>444</v>
      </c>
      <c r="O197">
        <v>7</v>
      </c>
      <c r="P197">
        <v>34.22</v>
      </c>
    </row>
    <row r="198" spans="1:16">
      <c r="A198" t="s">
        <v>209</v>
      </c>
      <c r="B198">
        <v>45</v>
      </c>
      <c r="C198" t="s">
        <v>413</v>
      </c>
      <c r="D198" t="s">
        <v>416</v>
      </c>
      <c r="E198" t="s">
        <v>425</v>
      </c>
      <c r="F198" t="s">
        <v>428</v>
      </c>
      <c r="G198">
        <v>115.867</v>
      </c>
      <c r="H198">
        <v>46.56</v>
      </c>
      <c r="I198">
        <v>129</v>
      </c>
      <c r="J198">
        <v>360.93</v>
      </c>
      <c r="K198" t="s">
        <v>433</v>
      </c>
      <c r="L198" t="s">
        <v>436</v>
      </c>
      <c r="M198" t="s">
        <v>442</v>
      </c>
      <c r="N198" t="s">
        <v>444</v>
      </c>
      <c r="O198">
        <v>9</v>
      </c>
      <c r="P198">
        <v>13.24</v>
      </c>
    </row>
    <row r="199" spans="1:16">
      <c r="A199" t="s">
        <v>210</v>
      </c>
      <c r="B199">
        <v>50</v>
      </c>
      <c r="C199" t="s">
        <v>414</v>
      </c>
      <c r="D199" t="s">
        <v>416</v>
      </c>
      <c r="E199" t="s">
        <v>425</v>
      </c>
      <c r="F199" t="s">
        <v>429</v>
      </c>
      <c r="G199">
        <v>30.599</v>
      </c>
      <c r="H199">
        <v>74.834000000000003</v>
      </c>
      <c r="I199">
        <v>102</v>
      </c>
      <c r="J199">
        <v>733.67</v>
      </c>
      <c r="K199" t="s">
        <v>432</v>
      </c>
      <c r="L199" t="s">
        <v>434</v>
      </c>
      <c r="M199" t="s">
        <v>439</v>
      </c>
      <c r="N199" t="s">
        <v>444</v>
      </c>
      <c r="O199">
        <v>2</v>
      </c>
      <c r="P199">
        <v>27.53</v>
      </c>
    </row>
    <row r="200" spans="1:16">
      <c r="A200" t="s">
        <v>211</v>
      </c>
      <c r="B200">
        <v>33</v>
      </c>
      <c r="C200" t="s">
        <v>413</v>
      </c>
      <c r="D200" t="s">
        <v>420</v>
      </c>
      <c r="E200" t="s">
        <v>426</v>
      </c>
      <c r="F200" t="s">
        <v>429</v>
      </c>
      <c r="G200">
        <v>146.584</v>
      </c>
      <c r="H200">
        <v>70.63</v>
      </c>
      <c r="I200">
        <v>57</v>
      </c>
      <c r="J200">
        <v>1239.1199999999999</v>
      </c>
      <c r="K200" t="s">
        <v>432</v>
      </c>
      <c r="L200" t="s">
        <v>434</v>
      </c>
      <c r="M200" t="s">
        <v>442</v>
      </c>
      <c r="N200" t="s">
        <v>443</v>
      </c>
      <c r="O200">
        <v>8</v>
      </c>
      <c r="P200">
        <v>11.62</v>
      </c>
    </row>
    <row r="201" spans="1:16">
      <c r="A201" t="s">
        <v>212</v>
      </c>
      <c r="B201">
        <v>55</v>
      </c>
      <c r="C201" t="s">
        <v>413</v>
      </c>
      <c r="D201" t="s">
        <v>421</v>
      </c>
      <c r="E201" t="s">
        <v>424</v>
      </c>
      <c r="F201" t="s">
        <v>429</v>
      </c>
      <c r="G201">
        <v>125.867</v>
      </c>
      <c r="H201">
        <v>7.8840000000000003</v>
      </c>
      <c r="I201">
        <v>17</v>
      </c>
      <c r="J201">
        <v>53.63</v>
      </c>
      <c r="K201" t="s">
        <v>432</v>
      </c>
      <c r="L201" t="s">
        <v>436</v>
      </c>
      <c r="M201" t="s">
        <v>442</v>
      </c>
      <c r="N201" t="s">
        <v>443</v>
      </c>
      <c r="O201">
        <v>7</v>
      </c>
      <c r="P201">
        <v>37.57</v>
      </c>
    </row>
    <row r="202" spans="1:16">
      <c r="A202" t="s">
        <v>213</v>
      </c>
      <c r="B202">
        <v>23</v>
      </c>
      <c r="C202" t="s">
        <v>414</v>
      </c>
      <c r="D202" t="s">
        <v>420</v>
      </c>
      <c r="E202" t="s">
        <v>424</v>
      </c>
      <c r="F202" t="s">
        <v>429</v>
      </c>
      <c r="G202">
        <v>88.673000000000002</v>
      </c>
      <c r="H202">
        <v>58.735999999999997</v>
      </c>
      <c r="I202">
        <v>38</v>
      </c>
      <c r="J202">
        <v>1545.68</v>
      </c>
      <c r="K202" t="s">
        <v>432</v>
      </c>
      <c r="L202" t="s">
        <v>435</v>
      </c>
      <c r="M202" t="s">
        <v>439</v>
      </c>
      <c r="N202" t="s">
        <v>443</v>
      </c>
      <c r="O202">
        <v>7</v>
      </c>
      <c r="P202">
        <v>9.17</v>
      </c>
    </row>
    <row r="203" spans="1:16">
      <c r="A203" t="s">
        <v>214</v>
      </c>
      <c r="B203">
        <v>32</v>
      </c>
      <c r="C203" t="s">
        <v>414</v>
      </c>
      <c r="D203" t="s">
        <v>420</v>
      </c>
      <c r="E203" t="s">
        <v>424</v>
      </c>
      <c r="F203" t="s">
        <v>429</v>
      </c>
      <c r="G203">
        <v>108.70399999999999</v>
      </c>
      <c r="H203">
        <v>44.814999999999998</v>
      </c>
      <c r="I203">
        <v>91</v>
      </c>
      <c r="J203">
        <v>492.47</v>
      </c>
      <c r="K203" t="s">
        <v>432</v>
      </c>
      <c r="L203" t="s">
        <v>437</v>
      </c>
      <c r="M203" t="s">
        <v>441</v>
      </c>
      <c r="N203" t="s">
        <v>445</v>
      </c>
      <c r="O203">
        <v>2</v>
      </c>
      <c r="P203">
        <v>17.309999999999999</v>
      </c>
    </row>
    <row r="204" spans="1:16">
      <c r="A204" t="s">
        <v>215</v>
      </c>
      <c r="B204">
        <v>36</v>
      </c>
      <c r="C204" t="s">
        <v>414</v>
      </c>
      <c r="D204" t="s">
        <v>418</v>
      </c>
      <c r="E204" t="s">
        <v>425</v>
      </c>
      <c r="F204" t="s">
        <v>428</v>
      </c>
      <c r="G204">
        <v>29.132999999999999</v>
      </c>
      <c r="H204">
        <v>52.963999999999999</v>
      </c>
      <c r="I204">
        <v>32</v>
      </c>
      <c r="J204">
        <v>401.24</v>
      </c>
      <c r="K204" t="s">
        <v>432</v>
      </c>
      <c r="L204" t="s">
        <v>435</v>
      </c>
      <c r="M204" t="s">
        <v>438</v>
      </c>
      <c r="N204" t="s">
        <v>443</v>
      </c>
      <c r="O204">
        <v>9</v>
      </c>
      <c r="P204">
        <v>14.67</v>
      </c>
    </row>
    <row r="205" spans="1:16">
      <c r="A205" t="s">
        <v>216</v>
      </c>
      <c r="B205">
        <v>67</v>
      </c>
      <c r="C205" t="s">
        <v>414</v>
      </c>
      <c r="D205" t="s">
        <v>416</v>
      </c>
      <c r="E205" t="s">
        <v>424</v>
      </c>
      <c r="F205" t="s">
        <v>431</v>
      </c>
      <c r="G205">
        <v>225.173</v>
      </c>
      <c r="H205">
        <v>47.540999999999997</v>
      </c>
      <c r="I205">
        <v>71</v>
      </c>
      <c r="J205">
        <v>669.59</v>
      </c>
      <c r="K205" t="s">
        <v>433</v>
      </c>
      <c r="L205" t="s">
        <v>435</v>
      </c>
      <c r="M205" t="s">
        <v>438</v>
      </c>
      <c r="N205" t="s">
        <v>443</v>
      </c>
      <c r="O205">
        <v>3</v>
      </c>
      <c r="P205">
        <v>40.090000000000003</v>
      </c>
    </row>
    <row r="206" spans="1:16">
      <c r="A206" t="s">
        <v>217</v>
      </c>
      <c r="B206">
        <v>27</v>
      </c>
      <c r="C206" t="s">
        <v>413</v>
      </c>
      <c r="D206" t="s">
        <v>418</v>
      </c>
      <c r="E206" t="s">
        <v>425</v>
      </c>
      <c r="F206" t="s">
        <v>431</v>
      </c>
      <c r="G206">
        <v>60.505000000000003</v>
      </c>
      <c r="H206">
        <v>75.210999999999999</v>
      </c>
      <c r="I206">
        <v>17</v>
      </c>
      <c r="J206">
        <v>4424.18</v>
      </c>
      <c r="K206" t="s">
        <v>433</v>
      </c>
      <c r="L206" t="s">
        <v>436</v>
      </c>
      <c r="M206" t="s">
        <v>439</v>
      </c>
      <c r="N206" t="s">
        <v>443</v>
      </c>
      <c r="O206">
        <v>1</v>
      </c>
      <c r="P206">
        <v>13.21</v>
      </c>
    </row>
    <row r="207" spans="1:16">
      <c r="A207" t="s">
        <v>218</v>
      </c>
      <c r="B207">
        <v>53</v>
      </c>
      <c r="C207" t="s">
        <v>413</v>
      </c>
      <c r="D207" t="s">
        <v>421</v>
      </c>
      <c r="E207" t="s">
        <v>425</v>
      </c>
      <c r="F207" t="s">
        <v>429</v>
      </c>
      <c r="G207">
        <v>25.474</v>
      </c>
      <c r="H207">
        <v>64.042000000000002</v>
      </c>
      <c r="I207">
        <v>56</v>
      </c>
      <c r="J207">
        <v>2036.46</v>
      </c>
      <c r="K207" t="s">
        <v>433</v>
      </c>
      <c r="L207" t="s">
        <v>434</v>
      </c>
      <c r="M207" t="s">
        <v>440</v>
      </c>
      <c r="N207" t="s">
        <v>444</v>
      </c>
      <c r="O207">
        <v>4</v>
      </c>
      <c r="P207">
        <v>12.94</v>
      </c>
    </row>
    <row r="208" spans="1:16">
      <c r="A208" t="s">
        <v>219</v>
      </c>
      <c r="B208">
        <v>20</v>
      </c>
      <c r="C208" t="s">
        <v>414</v>
      </c>
      <c r="D208" t="s">
        <v>420</v>
      </c>
      <c r="E208" t="s">
        <v>426</v>
      </c>
      <c r="F208" t="s">
        <v>429</v>
      </c>
      <c r="G208">
        <v>201.79300000000001</v>
      </c>
      <c r="H208">
        <v>54.698</v>
      </c>
      <c r="I208">
        <v>36</v>
      </c>
      <c r="J208">
        <v>2908.28</v>
      </c>
      <c r="K208" t="s">
        <v>433</v>
      </c>
      <c r="L208" t="s">
        <v>437</v>
      </c>
      <c r="M208" t="s">
        <v>438</v>
      </c>
      <c r="N208" t="s">
        <v>443</v>
      </c>
      <c r="O208">
        <v>4</v>
      </c>
      <c r="P208">
        <v>42.3</v>
      </c>
    </row>
    <row r="209" spans="1:16">
      <c r="A209" t="s">
        <v>220</v>
      </c>
      <c r="B209">
        <v>71</v>
      </c>
      <c r="C209" t="s">
        <v>413</v>
      </c>
      <c r="D209" t="s">
        <v>416</v>
      </c>
      <c r="E209" t="s">
        <v>424</v>
      </c>
      <c r="F209" t="s">
        <v>429</v>
      </c>
      <c r="G209">
        <v>92.707999999999998</v>
      </c>
      <c r="H209">
        <v>58.173000000000002</v>
      </c>
      <c r="I209">
        <v>138</v>
      </c>
      <c r="J209">
        <v>856.33</v>
      </c>
      <c r="K209" t="s">
        <v>433</v>
      </c>
      <c r="L209" t="s">
        <v>436</v>
      </c>
      <c r="M209" t="s">
        <v>440</v>
      </c>
      <c r="N209" t="s">
        <v>444</v>
      </c>
      <c r="O209">
        <v>9</v>
      </c>
      <c r="P209">
        <v>21.8</v>
      </c>
    </row>
    <row r="210" spans="1:16">
      <c r="A210" t="s">
        <v>221</v>
      </c>
      <c r="B210">
        <v>58</v>
      </c>
      <c r="C210" t="s">
        <v>414</v>
      </c>
      <c r="D210" t="s">
        <v>421</v>
      </c>
      <c r="E210" t="s">
        <v>426</v>
      </c>
      <c r="F210" t="s">
        <v>430</v>
      </c>
      <c r="G210">
        <v>198.52199999999999</v>
      </c>
      <c r="H210">
        <v>75.878</v>
      </c>
      <c r="I210">
        <v>43</v>
      </c>
      <c r="J210">
        <v>1764.6</v>
      </c>
      <c r="K210" t="s">
        <v>433</v>
      </c>
      <c r="L210" t="s">
        <v>436</v>
      </c>
      <c r="M210" t="s">
        <v>439</v>
      </c>
      <c r="N210" t="s">
        <v>444</v>
      </c>
      <c r="O210">
        <v>10</v>
      </c>
      <c r="P210">
        <v>17.52</v>
      </c>
    </row>
    <row r="211" spans="1:16">
      <c r="A211" t="s">
        <v>222</v>
      </c>
      <c r="B211">
        <v>55</v>
      </c>
      <c r="C211" t="s">
        <v>414</v>
      </c>
      <c r="D211" t="s">
        <v>423</v>
      </c>
      <c r="E211" t="s">
        <v>425</v>
      </c>
      <c r="F211" t="s">
        <v>429</v>
      </c>
      <c r="G211">
        <v>193.79300000000001</v>
      </c>
      <c r="H211">
        <v>34.79</v>
      </c>
      <c r="I211">
        <v>31</v>
      </c>
      <c r="J211">
        <v>344.46</v>
      </c>
      <c r="K211" t="s">
        <v>432</v>
      </c>
      <c r="L211" t="s">
        <v>435</v>
      </c>
      <c r="M211" t="s">
        <v>441</v>
      </c>
      <c r="N211" t="s">
        <v>444</v>
      </c>
      <c r="O211">
        <v>4</v>
      </c>
      <c r="P211">
        <v>10.57</v>
      </c>
    </row>
    <row r="212" spans="1:16">
      <c r="A212" t="s">
        <v>223</v>
      </c>
      <c r="B212">
        <v>51</v>
      </c>
      <c r="C212" t="s">
        <v>413</v>
      </c>
      <c r="D212" t="s">
        <v>422</v>
      </c>
      <c r="E212" t="s">
        <v>426</v>
      </c>
      <c r="F212" t="s">
        <v>431</v>
      </c>
      <c r="G212">
        <v>155.673</v>
      </c>
      <c r="H212">
        <v>50.582999999999998</v>
      </c>
      <c r="I212">
        <v>47</v>
      </c>
      <c r="J212">
        <v>398.29</v>
      </c>
      <c r="K212" t="s">
        <v>432</v>
      </c>
      <c r="L212" t="s">
        <v>434</v>
      </c>
      <c r="M212" t="s">
        <v>438</v>
      </c>
      <c r="N212" t="s">
        <v>444</v>
      </c>
      <c r="O212">
        <v>7</v>
      </c>
      <c r="P212">
        <v>22.7</v>
      </c>
    </row>
    <row r="213" spans="1:16">
      <c r="A213" t="s">
        <v>224</v>
      </c>
      <c r="B213">
        <v>49</v>
      </c>
      <c r="C213" t="s">
        <v>414</v>
      </c>
      <c r="D213" t="s">
        <v>417</v>
      </c>
      <c r="E213" t="s">
        <v>426</v>
      </c>
      <c r="F213" t="s">
        <v>428</v>
      </c>
      <c r="G213">
        <v>38.252000000000002</v>
      </c>
      <c r="H213">
        <v>32.595999999999997</v>
      </c>
      <c r="I213">
        <v>15</v>
      </c>
      <c r="J213">
        <v>2173.0700000000002</v>
      </c>
      <c r="K213" t="s">
        <v>433</v>
      </c>
      <c r="L213" t="s">
        <v>437</v>
      </c>
      <c r="M213" t="s">
        <v>439</v>
      </c>
      <c r="N213" t="s">
        <v>444</v>
      </c>
      <c r="O213">
        <v>6</v>
      </c>
      <c r="P213">
        <v>3.05</v>
      </c>
    </row>
    <row r="214" spans="1:16">
      <c r="A214" t="s">
        <v>225</v>
      </c>
      <c r="B214">
        <v>43</v>
      </c>
      <c r="C214" t="s">
        <v>414</v>
      </c>
      <c r="D214" t="s">
        <v>420</v>
      </c>
      <c r="E214" t="s">
        <v>424</v>
      </c>
      <c r="F214" t="s">
        <v>428</v>
      </c>
      <c r="G214">
        <v>63.34</v>
      </c>
      <c r="H214">
        <v>61.811999999999998</v>
      </c>
      <c r="I214">
        <v>71</v>
      </c>
      <c r="J214">
        <v>841.42</v>
      </c>
      <c r="K214" t="s">
        <v>432</v>
      </c>
      <c r="L214" t="s">
        <v>434</v>
      </c>
      <c r="M214" t="s">
        <v>440</v>
      </c>
      <c r="N214" t="s">
        <v>444</v>
      </c>
      <c r="O214">
        <v>6</v>
      </c>
      <c r="P214">
        <v>28.49</v>
      </c>
    </row>
    <row r="215" spans="1:16">
      <c r="A215" t="s">
        <v>226</v>
      </c>
      <c r="B215">
        <v>20</v>
      </c>
      <c r="C215" t="s">
        <v>413</v>
      </c>
      <c r="D215" t="s">
        <v>418</v>
      </c>
      <c r="E215" t="s">
        <v>425</v>
      </c>
      <c r="F215" t="s">
        <v>429</v>
      </c>
      <c r="G215">
        <v>178.959</v>
      </c>
      <c r="H215">
        <v>50.414000000000001</v>
      </c>
      <c r="I215">
        <v>94</v>
      </c>
      <c r="J215">
        <v>1068.23</v>
      </c>
      <c r="K215" t="s">
        <v>432</v>
      </c>
      <c r="L215" t="s">
        <v>437</v>
      </c>
      <c r="M215" t="s">
        <v>442</v>
      </c>
      <c r="N215" t="s">
        <v>444</v>
      </c>
      <c r="O215">
        <v>8</v>
      </c>
      <c r="P215">
        <v>10.23</v>
      </c>
    </row>
    <row r="216" spans="1:16">
      <c r="A216" t="s">
        <v>227</v>
      </c>
      <c r="B216">
        <v>18</v>
      </c>
      <c r="C216" t="s">
        <v>414</v>
      </c>
      <c r="D216" t="s">
        <v>421</v>
      </c>
      <c r="E216" t="s">
        <v>425</v>
      </c>
      <c r="F216" t="s">
        <v>429</v>
      </c>
      <c r="G216">
        <v>120.378</v>
      </c>
      <c r="H216">
        <v>46.179000000000002</v>
      </c>
      <c r="I216">
        <v>58</v>
      </c>
      <c r="J216">
        <v>1830.67</v>
      </c>
      <c r="K216" t="s">
        <v>432</v>
      </c>
      <c r="L216" t="s">
        <v>436</v>
      </c>
      <c r="M216" t="s">
        <v>441</v>
      </c>
      <c r="N216" t="s">
        <v>444</v>
      </c>
      <c r="O216">
        <v>10</v>
      </c>
      <c r="P216">
        <v>11.02</v>
      </c>
    </row>
    <row r="217" spans="1:16">
      <c r="A217" t="s">
        <v>228</v>
      </c>
      <c r="B217">
        <v>48</v>
      </c>
      <c r="C217" t="s">
        <v>414</v>
      </c>
      <c r="D217" t="s">
        <v>420</v>
      </c>
      <c r="E217" t="s">
        <v>426</v>
      </c>
      <c r="F217" t="s">
        <v>431</v>
      </c>
      <c r="G217">
        <v>51.945</v>
      </c>
      <c r="H217">
        <v>41.563000000000002</v>
      </c>
      <c r="I217">
        <v>72</v>
      </c>
      <c r="J217">
        <v>577.26</v>
      </c>
      <c r="K217" t="s">
        <v>433</v>
      </c>
      <c r="L217" t="s">
        <v>435</v>
      </c>
      <c r="M217" t="s">
        <v>442</v>
      </c>
      <c r="N217" t="s">
        <v>444</v>
      </c>
      <c r="O217">
        <v>1</v>
      </c>
      <c r="P217">
        <v>16.57</v>
      </c>
    </row>
    <row r="218" spans="1:16">
      <c r="A218" t="s">
        <v>229</v>
      </c>
      <c r="B218">
        <v>63</v>
      </c>
      <c r="C218" t="s">
        <v>413</v>
      </c>
      <c r="D218" t="s">
        <v>422</v>
      </c>
      <c r="E218" t="s">
        <v>424</v>
      </c>
      <c r="F218" t="s">
        <v>431</v>
      </c>
      <c r="G218">
        <v>165.376</v>
      </c>
      <c r="H218">
        <v>90.54</v>
      </c>
      <c r="I218">
        <v>83</v>
      </c>
      <c r="J218">
        <v>1090.8399999999999</v>
      </c>
      <c r="K218" t="s">
        <v>433</v>
      </c>
      <c r="L218" t="s">
        <v>436</v>
      </c>
      <c r="M218" t="s">
        <v>438</v>
      </c>
      <c r="N218" t="s">
        <v>444</v>
      </c>
      <c r="O218">
        <v>1</v>
      </c>
      <c r="P218">
        <v>36.200000000000003</v>
      </c>
    </row>
    <row r="219" spans="1:16">
      <c r="A219" t="s">
        <v>230</v>
      </c>
      <c r="B219">
        <v>36</v>
      </c>
      <c r="C219" t="s">
        <v>414</v>
      </c>
      <c r="D219" t="s">
        <v>419</v>
      </c>
      <c r="E219" t="s">
        <v>424</v>
      </c>
      <c r="F219" t="s">
        <v>429</v>
      </c>
      <c r="G219">
        <v>103.745</v>
      </c>
      <c r="H219">
        <v>93.213999999999999</v>
      </c>
      <c r="I219">
        <v>79</v>
      </c>
      <c r="J219">
        <v>1179.92</v>
      </c>
      <c r="K219" t="s">
        <v>433</v>
      </c>
      <c r="L219" t="s">
        <v>435</v>
      </c>
      <c r="M219" t="s">
        <v>441</v>
      </c>
      <c r="N219" t="s">
        <v>443</v>
      </c>
      <c r="O219">
        <v>4</v>
      </c>
      <c r="P219">
        <v>20.94</v>
      </c>
    </row>
    <row r="220" spans="1:16">
      <c r="A220" t="s">
        <v>231</v>
      </c>
      <c r="B220">
        <v>31</v>
      </c>
      <c r="C220" t="s">
        <v>413</v>
      </c>
      <c r="D220" t="s">
        <v>423</v>
      </c>
      <c r="E220" t="s">
        <v>424</v>
      </c>
      <c r="F220" t="s">
        <v>431</v>
      </c>
      <c r="G220">
        <v>155.29400000000001</v>
      </c>
      <c r="H220">
        <v>68.881</v>
      </c>
      <c r="I220">
        <v>19</v>
      </c>
      <c r="J220">
        <v>3625.32</v>
      </c>
      <c r="K220" t="s">
        <v>432</v>
      </c>
      <c r="L220" t="s">
        <v>435</v>
      </c>
      <c r="M220" t="s">
        <v>439</v>
      </c>
      <c r="N220" t="s">
        <v>444</v>
      </c>
      <c r="O220">
        <v>1</v>
      </c>
      <c r="P220">
        <v>21.2</v>
      </c>
    </row>
    <row r="221" spans="1:16">
      <c r="A221" t="s">
        <v>232</v>
      </c>
      <c r="B221">
        <v>53</v>
      </c>
      <c r="C221" t="s">
        <v>414</v>
      </c>
      <c r="D221" t="s">
        <v>416</v>
      </c>
      <c r="E221" t="s">
        <v>426</v>
      </c>
      <c r="F221" t="s">
        <v>430</v>
      </c>
      <c r="G221">
        <v>67.265000000000001</v>
      </c>
      <c r="H221">
        <v>22.989000000000001</v>
      </c>
      <c r="I221">
        <v>25</v>
      </c>
      <c r="J221">
        <v>919.56</v>
      </c>
      <c r="K221" t="s">
        <v>432</v>
      </c>
      <c r="L221" t="s">
        <v>437</v>
      </c>
      <c r="M221" t="s">
        <v>438</v>
      </c>
      <c r="N221" t="s">
        <v>444</v>
      </c>
      <c r="O221">
        <v>10</v>
      </c>
      <c r="P221">
        <v>44.78</v>
      </c>
    </row>
    <row r="222" spans="1:16">
      <c r="A222" t="s">
        <v>233</v>
      </c>
      <c r="B222">
        <v>58</v>
      </c>
      <c r="C222" t="s">
        <v>413</v>
      </c>
      <c r="D222" t="s">
        <v>418</v>
      </c>
      <c r="E222" t="s">
        <v>424</v>
      </c>
      <c r="F222" t="s">
        <v>430</v>
      </c>
      <c r="G222">
        <v>117.074</v>
      </c>
      <c r="H222">
        <v>59.466999999999999</v>
      </c>
      <c r="I222">
        <v>17</v>
      </c>
      <c r="J222">
        <v>3498.06</v>
      </c>
      <c r="K222" t="s">
        <v>433</v>
      </c>
      <c r="L222" t="s">
        <v>436</v>
      </c>
      <c r="M222" t="s">
        <v>441</v>
      </c>
      <c r="N222" t="s">
        <v>444</v>
      </c>
      <c r="O222">
        <v>3</v>
      </c>
      <c r="P222">
        <v>48.75</v>
      </c>
    </row>
    <row r="223" spans="1:16">
      <c r="A223" t="s">
        <v>234</v>
      </c>
      <c r="B223">
        <v>70</v>
      </c>
      <c r="C223" t="s">
        <v>413</v>
      </c>
      <c r="D223" t="s">
        <v>422</v>
      </c>
      <c r="E223" t="s">
        <v>427</v>
      </c>
      <c r="F223" t="s">
        <v>428</v>
      </c>
      <c r="G223">
        <v>248.74</v>
      </c>
      <c r="H223">
        <v>82.37</v>
      </c>
      <c r="I223">
        <v>100</v>
      </c>
      <c r="J223">
        <v>823.7</v>
      </c>
      <c r="K223" t="s">
        <v>432</v>
      </c>
      <c r="L223" t="s">
        <v>435</v>
      </c>
      <c r="M223" t="s">
        <v>439</v>
      </c>
      <c r="N223" t="s">
        <v>444</v>
      </c>
      <c r="O223">
        <v>2</v>
      </c>
      <c r="P223">
        <v>35.9</v>
      </c>
    </row>
    <row r="224" spans="1:16">
      <c r="A224" t="s">
        <v>235</v>
      </c>
      <c r="B224">
        <v>70</v>
      </c>
      <c r="C224" t="s">
        <v>414</v>
      </c>
      <c r="D224" t="s">
        <v>420</v>
      </c>
      <c r="E224" t="s">
        <v>425</v>
      </c>
      <c r="F224" t="s">
        <v>429</v>
      </c>
      <c r="G224">
        <v>35.295000000000002</v>
      </c>
      <c r="H224">
        <v>69.116</v>
      </c>
      <c r="I224">
        <v>15</v>
      </c>
      <c r="J224">
        <v>7274.4</v>
      </c>
      <c r="K224" t="s">
        <v>433</v>
      </c>
      <c r="L224" t="s">
        <v>437</v>
      </c>
      <c r="M224" t="s">
        <v>442</v>
      </c>
      <c r="N224" t="s">
        <v>445</v>
      </c>
      <c r="O224">
        <v>4</v>
      </c>
      <c r="P224">
        <v>16.350000000000001</v>
      </c>
    </row>
    <row r="225" spans="1:16">
      <c r="A225" t="s">
        <v>236</v>
      </c>
      <c r="B225">
        <v>29</v>
      </c>
      <c r="C225" t="s">
        <v>413</v>
      </c>
      <c r="D225" t="s">
        <v>417</v>
      </c>
      <c r="E225" t="s">
        <v>425</v>
      </c>
      <c r="F225" t="s">
        <v>428</v>
      </c>
      <c r="G225">
        <v>42.787999999999997</v>
      </c>
      <c r="H225">
        <v>66.632999999999996</v>
      </c>
      <c r="I225">
        <v>86</v>
      </c>
      <c r="J225">
        <v>774.8</v>
      </c>
      <c r="K225" t="s">
        <v>433</v>
      </c>
      <c r="L225" t="s">
        <v>436</v>
      </c>
      <c r="M225" t="s">
        <v>439</v>
      </c>
      <c r="N225" t="s">
        <v>444</v>
      </c>
      <c r="O225">
        <v>3</v>
      </c>
      <c r="P225">
        <v>24.9</v>
      </c>
    </row>
    <row r="226" spans="1:16">
      <c r="A226" t="s">
        <v>237</v>
      </c>
      <c r="B226">
        <v>54</v>
      </c>
      <c r="C226" t="s">
        <v>414</v>
      </c>
      <c r="D226" t="s">
        <v>423</v>
      </c>
      <c r="E226" t="s">
        <v>426</v>
      </c>
      <c r="F226" t="s">
        <v>430</v>
      </c>
      <c r="G226">
        <v>52.491</v>
      </c>
      <c r="H226">
        <v>19.917000000000002</v>
      </c>
      <c r="I226">
        <v>139</v>
      </c>
      <c r="J226">
        <v>790.77</v>
      </c>
      <c r="K226" t="s">
        <v>433</v>
      </c>
      <c r="L226" t="s">
        <v>436</v>
      </c>
      <c r="M226" t="s">
        <v>441</v>
      </c>
      <c r="N226" t="s">
        <v>445</v>
      </c>
      <c r="O226">
        <v>1</v>
      </c>
      <c r="P226">
        <v>11.72</v>
      </c>
    </row>
    <row r="227" spans="1:16">
      <c r="A227" t="s">
        <v>238</v>
      </c>
      <c r="B227">
        <v>33</v>
      </c>
      <c r="C227" t="s">
        <v>413</v>
      </c>
      <c r="D227" t="s">
        <v>416</v>
      </c>
      <c r="E227" t="s">
        <v>425</v>
      </c>
      <c r="F227" t="s">
        <v>429</v>
      </c>
      <c r="G227">
        <v>130.08699999999999</v>
      </c>
      <c r="H227">
        <v>34.683999999999997</v>
      </c>
      <c r="I227">
        <v>97</v>
      </c>
      <c r="J227">
        <v>1079.22</v>
      </c>
      <c r="K227" t="s">
        <v>432</v>
      </c>
      <c r="L227" t="s">
        <v>437</v>
      </c>
      <c r="M227" t="s">
        <v>438</v>
      </c>
      <c r="N227" t="s">
        <v>444</v>
      </c>
      <c r="O227">
        <v>7</v>
      </c>
      <c r="P227">
        <v>40.159999999999997</v>
      </c>
    </row>
    <row r="228" spans="1:16">
      <c r="A228" t="s">
        <v>239</v>
      </c>
      <c r="B228">
        <v>27</v>
      </c>
      <c r="C228" t="s">
        <v>414</v>
      </c>
      <c r="D228" t="s">
        <v>418</v>
      </c>
      <c r="E228" t="s">
        <v>424</v>
      </c>
      <c r="F228" t="s">
        <v>429</v>
      </c>
      <c r="G228">
        <v>101.405</v>
      </c>
      <c r="H228">
        <v>29.614000000000001</v>
      </c>
      <c r="I228">
        <v>6</v>
      </c>
      <c r="J228">
        <v>16602.330000000002</v>
      </c>
      <c r="K228" t="s">
        <v>433</v>
      </c>
      <c r="L228" t="s">
        <v>435</v>
      </c>
      <c r="M228" t="s">
        <v>440</v>
      </c>
      <c r="N228" t="s">
        <v>444</v>
      </c>
      <c r="O228">
        <v>7</v>
      </c>
      <c r="P228">
        <v>22.22</v>
      </c>
    </row>
    <row r="229" spans="1:16">
      <c r="A229" t="s">
        <v>240</v>
      </c>
      <c r="B229">
        <v>65</v>
      </c>
      <c r="C229" t="s">
        <v>413</v>
      </c>
      <c r="D229" t="s">
        <v>421</v>
      </c>
      <c r="E229" t="s">
        <v>425</v>
      </c>
      <c r="F229" t="s">
        <v>429</v>
      </c>
      <c r="G229">
        <v>111.88800000000001</v>
      </c>
      <c r="H229">
        <v>17.690999999999999</v>
      </c>
      <c r="I229">
        <v>25</v>
      </c>
      <c r="J229">
        <v>707.64</v>
      </c>
      <c r="K229" t="s">
        <v>432</v>
      </c>
      <c r="L229" t="s">
        <v>435</v>
      </c>
      <c r="M229" t="s">
        <v>441</v>
      </c>
      <c r="N229" t="s">
        <v>443</v>
      </c>
      <c r="O229">
        <v>2</v>
      </c>
      <c r="P229">
        <v>16.2</v>
      </c>
    </row>
    <row r="230" spans="1:16">
      <c r="A230" t="s">
        <v>241</v>
      </c>
      <c r="B230">
        <v>61</v>
      </c>
      <c r="C230" t="s">
        <v>414</v>
      </c>
      <c r="D230" t="s">
        <v>423</v>
      </c>
      <c r="E230" t="s">
        <v>426</v>
      </c>
      <c r="F230" t="s">
        <v>431</v>
      </c>
      <c r="G230">
        <v>98.747</v>
      </c>
      <c r="H230">
        <v>8.702</v>
      </c>
      <c r="I230">
        <v>150</v>
      </c>
      <c r="J230">
        <v>58.01</v>
      </c>
      <c r="K230" t="s">
        <v>433</v>
      </c>
      <c r="L230" t="s">
        <v>435</v>
      </c>
      <c r="M230" t="s">
        <v>440</v>
      </c>
      <c r="N230" t="s">
        <v>443</v>
      </c>
      <c r="O230">
        <v>6</v>
      </c>
      <c r="P230">
        <v>38.11</v>
      </c>
    </row>
    <row r="231" spans="1:16">
      <c r="A231" t="s">
        <v>242</v>
      </c>
      <c r="B231">
        <v>65</v>
      </c>
      <c r="C231" t="s">
        <v>413</v>
      </c>
      <c r="D231" t="s">
        <v>422</v>
      </c>
      <c r="E231" t="s">
        <v>425</v>
      </c>
      <c r="F231" t="s">
        <v>428</v>
      </c>
      <c r="G231">
        <v>221.452</v>
      </c>
      <c r="H231">
        <v>53.198</v>
      </c>
      <c r="I231">
        <v>72</v>
      </c>
      <c r="J231">
        <v>738.86</v>
      </c>
      <c r="K231" t="s">
        <v>433</v>
      </c>
      <c r="L231" t="s">
        <v>436</v>
      </c>
      <c r="M231" t="s">
        <v>440</v>
      </c>
      <c r="N231" t="s">
        <v>443</v>
      </c>
      <c r="O231">
        <v>8</v>
      </c>
      <c r="P231">
        <v>29.81</v>
      </c>
    </row>
    <row r="232" spans="1:16">
      <c r="A232" t="s">
        <v>243</v>
      </c>
      <c r="B232">
        <v>31</v>
      </c>
      <c r="C232" t="s">
        <v>414</v>
      </c>
      <c r="D232" t="s">
        <v>419</v>
      </c>
      <c r="E232" t="s">
        <v>425</v>
      </c>
      <c r="F232" t="s">
        <v>429</v>
      </c>
      <c r="G232">
        <v>172.005</v>
      </c>
      <c r="H232">
        <v>59.451999999999998</v>
      </c>
      <c r="I232">
        <v>114</v>
      </c>
      <c r="J232">
        <v>696.95</v>
      </c>
      <c r="K232" t="s">
        <v>433</v>
      </c>
      <c r="L232" t="s">
        <v>434</v>
      </c>
      <c r="M232" t="s">
        <v>439</v>
      </c>
      <c r="N232" t="s">
        <v>444</v>
      </c>
      <c r="O232">
        <v>5</v>
      </c>
      <c r="P232">
        <v>3.71</v>
      </c>
    </row>
    <row r="233" spans="1:16">
      <c r="A233" t="s">
        <v>244</v>
      </c>
      <c r="B233">
        <v>65</v>
      </c>
      <c r="C233" t="s">
        <v>414</v>
      </c>
      <c r="D233" t="s">
        <v>417</v>
      </c>
      <c r="E233" t="s">
        <v>425</v>
      </c>
      <c r="F233" t="s">
        <v>428</v>
      </c>
      <c r="G233">
        <v>240.61199999999999</v>
      </c>
      <c r="H233">
        <v>37.430999999999997</v>
      </c>
      <c r="I233">
        <v>75</v>
      </c>
      <c r="J233">
        <v>1299.08</v>
      </c>
      <c r="K233" t="s">
        <v>433</v>
      </c>
      <c r="L233" t="s">
        <v>437</v>
      </c>
      <c r="M233" t="s">
        <v>440</v>
      </c>
      <c r="N233" t="s">
        <v>444</v>
      </c>
      <c r="O233">
        <v>5</v>
      </c>
      <c r="P233">
        <v>2.17</v>
      </c>
    </row>
    <row r="234" spans="1:16">
      <c r="A234" t="s">
        <v>245</v>
      </c>
      <c r="B234">
        <v>70</v>
      </c>
      <c r="C234" t="s">
        <v>413</v>
      </c>
      <c r="D234" t="s">
        <v>422</v>
      </c>
      <c r="E234" t="s">
        <v>424</v>
      </c>
      <c r="F234" t="s">
        <v>429</v>
      </c>
      <c r="G234">
        <v>228.65700000000001</v>
      </c>
      <c r="H234">
        <v>48.484999999999999</v>
      </c>
      <c r="I234">
        <v>17</v>
      </c>
      <c r="J234">
        <v>6969.71</v>
      </c>
      <c r="K234" t="s">
        <v>432</v>
      </c>
      <c r="L234" t="s">
        <v>435</v>
      </c>
      <c r="M234" t="s">
        <v>438</v>
      </c>
      <c r="N234" t="s">
        <v>444</v>
      </c>
      <c r="O234">
        <v>6</v>
      </c>
      <c r="P234">
        <v>0.53</v>
      </c>
    </row>
    <row r="235" spans="1:16">
      <c r="A235" t="s">
        <v>246</v>
      </c>
      <c r="B235">
        <v>62</v>
      </c>
      <c r="C235" t="s">
        <v>414</v>
      </c>
      <c r="D235" t="s">
        <v>422</v>
      </c>
      <c r="E235" t="s">
        <v>426</v>
      </c>
      <c r="F235" t="s">
        <v>429</v>
      </c>
      <c r="G235">
        <v>77.058999999999997</v>
      </c>
      <c r="H235">
        <v>48.764000000000003</v>
      </c>
      <c r="I235">
        <v>52</v>
      </c>
      <c r="J235">
        <v>1899.31</v>
      </c>
      <c r="K235" t="s">
        <v>432</v>
      </c>
      <c r="L235" t="s">
        <v>436</v>
      </c>
      <c r="M235" t="s">
        <v>440</v>
      </c>
      <c r="N235" t="s">
        <v>444</v>
      </c>
      <c r="O235">
        <v>10</v>
      </c>
      <c r="P235">
        <v>31.28</v>
      </c>
    </row>
    <row r="236" spans="1:16">
      <c r="A236" t="s">
        <v>247</v>
      </c>
      <c r="B236">
        <v>44</v>
      </c>
      <c r="C236" t="s">
        <v>413</v>
      </c>
      <c r="D236" t="s">
        <v>419</v>
      </c>
      <c r="E236" t="s">
        <v>424</v>
      </c>
      <c r="F236" t="s">
        <v>429</v>
      </c>
      <c r="G236">
        <v>82.430999999999997</v>
      </c>
      <c r="H236">
        <v>77.566999999999993</v>
      </c>
      <c r="I236">
        <v>29</v>
      </c>
      <c r="J236">
        <v>2674.72</v>
      </c>
      <c r="K236" t="s">
        <v>432</v>
      </c>
      <c r="L236" t="s">
        <v>436</v>
      </c>
      <c r="M236" t="s">
        <v>439</v>
      </c>
      <c r="N236" t="s">
        <v>443</v>
      </c>
      <c r="O236">
        <v>5</v>
      </c>
      <c r="P236">
        <v>37.659999999999997</v>
      </c>
    </row>
    <row r="237" spans="1:16">
      <c r="A237" t="s">
        <v>248</v>
      </c>
      <c r="B237">
        <v>22</v>
      </c>
      <c r="C237" t="s">
        <v>414</v>
      </c>
      <c r="D237" t="s">
        <v>417</v>
      </c>
      <c r="E237" t="s">
        <v>425</v>
      </c>
      <c r="F237" t="s">
        <v>429</v>
      </c>
      <c r="G237">
        <v>101.482</v>
      </c>
      <c r="H237">
        <v>88.251000000000005</v>
      </c>
      <c r="I237">
        <v>106</v>
      </c>
      <c r="J237">
        <v>832.56</v>
      </c>
      <c r="K237" t="s">
        <v>432</v>
      </c>
      <c r="L237" t="s">
        <v>435</v>
      </c>
      <c r="M237" t="s">
        <v>439</v>
      </c>
      <c r="N237" t="s">
        <v>443</v>
      </c>
      <c r="O237">
        <v>1</v>
      </c>
      <c r="P237">
        <v>45.48</v>
      </c>
    </row>
    <row r="238" spans="1:16">
      <c r="A238" t="s">
        <v>249</v>
      </c>
      <c r="B238">
        <v>40</v>
      </c>
      <c r="C238" t="s">
        <v>414</v>
      </c>
      <c r="D238" t="s">
        <v>418</v>
      </c>
      <c r="E238" t="s">
        <v>425</v>
      </c>
      <c r="F238" t="s">
        <v>429</v>
      </c>
      <c r="G238">
        <v>203.952</v>
      </c>
      <c r="H238">
        <v>29.036999999999999</v>
      </c>
      <c r="I238">
        <v>24</v>
      </c>
      <c r="J238">
        <v>1209.8800000000001</v>
      </c>
      <c r="K238" t="s">
        <v>432</v>
      </c>
      <c r="L238" t="s">
        <v>436</v>
      </c>
      <c r="M238" t="s">
        <v>438</v>
      </c>
      <c r="N238" t="s">
        <v>444</v>
      </c>
      <c r="O238">
        <v>9</v>
      </c>
      <c r="P238">
        <v>15.47</v>
      </c>
    </row>
    <row r="239" spans="1:16">
      <c r="A239" t="s">
        <v>250</v>
      </c>
      <c r="B239">
        <v>23</v>
      </c>
      <c r="C239" t="s">
        <v>414</v>
      </c>
      <c r="D239" t="s">
        <v>416</v>
      </c>
      <c r="E239" t="s">
        <v>425</v>
      </c>
      <c r="F239" t="s">
        <v>429</v>
      </c>
      <c r="G239">
        <v>155.96600000000001</v>
      </c>
      <c r="H239">
        <v>41.875999999999998</v>
      </c>
      <c r="I239">
        <v>35</v>
      </c>
      <c r="J239">
        <v>310.19</v>
      </c>
      <c r="K239" t="s">
        <v>432</v>
      </c>
      <c r="L239" t="s">
        <v>435</v>
      </c>
      <c r="M239" t="s">
        <v>442</v>
      </c>
      <c r="N239" t="s">
        <v>444</v>
      </c>
      <c r="O239">
        <v>9</v>
      </c>
      <c r="P239">
        <v>26.97</v>
      </c>
    </row>
    <row r="240" spans="1:16">
      <c r="A240" t="s">
        <v>251</v>
      </c>
      <c r="B240">
        <v>67</v>
      </c>
      <c r="C240" t="s">
        <v>413</v>
      </c>
      <c r="D240" t="s">
        <v>417</v>
      </c>
      <c r="E240" t="s">
        <v>425</v>
      </c>
      <c r="F240" t="s">
        <v>428</v>
      </c>
      <c r="G240">
        <v>150.72499999999999</v>
      </c>
      <c r="H240">
        <v>43.820999999999998</v>
      </c>
      <c r="I240">
        <v>27</v>
      </c>
      <c r="J240">
        <v>345.05</v>
      </c>
      <c r="K240" t="s">
        <v>433</v>
      </c>
      <c r="L240" t="s">
        <v>435</v>
      </c>
      <c r="M240" t="s">
        <v>441</v>
      </c>
      <c r="N240" t="s">
        <v>444</v>
      </c>
      <c r="O240">
        <v>6</v>
      </c>
      <c r="P240">
        <v>34.06</v>
      </c>
    </row>
    <row r="241" spans="1:16">
      <c r="A241" t="s">
        <v>252</v>
      </c>
      <c r="B241">
        <v>71</v>
      </c>
      <c r="C241" t="s">
        <v>413</v>
      </c>
      <c r="D241" t="s">
        <v>420</v>
      </c>
      <c r="E241" t="s">
        <v>425</v>
      </c>
      <c r="F241" t="s">
        <v>431</v>
      </c>
      <c r="G241">
        <v>109.81399999999999</v>
      </c>
      <c r="H241">
        <v>78.427000000000007</v>
      </c>
      <c r="I241">
        <v>103</v>
      </c>
      <c r="J241">
        <v>761.43</v>
      </c>
      <c r="K241" t="s">
        <v>432</v>
      </c>
      <c r="L241" t="s">
        <v>434</v>
      </c>
      <c r="M241" t="s">
        <v>439</v>
      </c>
      <c r="N241" t="s">
        <v>444</v>
      </c>
      <c r="O241">
        <v>1</v>
      </c>
      <c r="P241">
        <v>21.6</v>
      </c>
    </row>
    <row r="242" spans="1:16">
      <c r="A242" t="s">
        <v>253</v>
      </c>
      <c r="B242">
        <v>46</v>
      </c>
      <c r="C242" t="s">
        <v>414</v>
      </c>
      <c r="D242" t="s">
        <v>418</v>
      </c>
      <c r="E242" t="s">
        <v>425</v>
      </c>
      <c r="F242" t="s">
        <v>429</v>
      </c>
      <c r="G242">
        <v>152.982</v>
      </c>
      <c r="H242">
        <v>49.826000000000001</v>
      </c>
      <c r="I242">
        <v>22</v>
      </c>
      <c r="J242">
        <v>2264.8200000000002</v>
      </c>
      <c r="K242" t="s">
        <v>433</v>
      </c>
      <c r="L242" t="s">
        <v>437</v>
      </c>
      <c r="M242" t="s">
        <v>442</v>
      </c>
      <c r="N242" t="s">
        <v>443</v>
      </c>
      <c r="O242">
        <v>10</v>
      </c>
      <c r="P242">
        <v>6.02</v>
      </c>
    </row>
    <row r="243" spans="1:16">
      <c r="A243" t="s">
        <v>254</v>
      </c>
      <c r="B243">
        <v>68</v>
      </c>
      <c r="C243" t="s">
        <v>414</v>
      </c>
      <c r="D243" t="s">
        <v>416</v>
      </c>
      <c r="E243" t="s">
        <v>424</v>
      </c>
      <c r="F243" t="s">
        <v>431</v>
      </c>
      <c r="G243">
        <v>154.625</v>
      </c>
      <c r="H243">
        <v>83.674999999999997</v>
      </c>
      <c r="I243">
        <v>69</v>
      </c>
      <c r="J243">
        <v>1212.68</v>
      </c>
      <c r="K243" t="s">
        <v>432</v>
      </c>
      <c r="L243" t="s">
        <v>435</v>
      </c>
      <c r="M243" t="s">
        <v>441</v>
      </c>
      <c r="N243" t="s">
        <v>444</v>
      </c>
      <c r="O243">
        <v>5</v>
      </c>
      <c r="P243">
        <v>28.76</v>
      </c>
    </row>
    <row r="244" spans="1:16">
      <c r="A244" t="s">
        <v>255</v>
      </c>
      <c r="B244">
        <v>54</v>
      </c>
      <c r="C244" t="s">
        <v>414</v>
      </c>
      <c r="D244" t="s">
        <v>416</v>
      </c>
      <c r="E244" t="s">
        <v>424</v>
      </c>
      <c r="F244" t="s">
        <v>429</v>
      </c>
      <c r="G244">
        <v>140.035</v>
      </c>
      <c r="H244">
        <v>46.741999999999997</v>
      </c>
      <c r="I244">
        <v>41</v>
      </c>
      <c r="J244">
        <v>331.5</v>
      </c>
      <c r="K244" t="s">
        <v>432</v>
      </c>
      <c r="L244" t="s">
        <v>434</v>
      </c>
      <c r="M244" t="s">
        <v>442</v>
      </c>
      <c r="N244" t="s">
        <v>444</v>
      </c>
      <c r="O244">
        <v>8</v>
      </c>
      <c r="P244">
        <v>22.01</v>
      </c>
    </row>
    <row r="245" spans="1:16">
      <c r="A245" t="s">
        <v>256</v>
      </c>
      <c r="B245">
        <v>20</v>
      </c>
      <c r="C245" t="s">
        <v>413</v>
      </c>
      <c r="D245" t="s">
        <v>417</v>
      </c>
      <c r="E245" t="s">
        <v>425</v>
      </c>
      <c r="F245" t="s">
        <v>429</v>
      </c>
      <c r="G245">
        <v>176.27199999999999</v>
      </c>
      <c r="H245">
        <v>77.100999999999999</v>
      </c>
      <c r="I245">
        <v>82</v>
      </c>
      <c r="J245">
        <v>1306.1099999999999</v>
      </c>
      <c r="K245" t="s">
        <v>432</v>
      </c>
      <c r="L245" t="s">
        <v>435</v>
      </c>
      <c r="M245" t="s">
        <v>442</v>
      </c>
      <c r="N245" t="s">
        <v>445</v>
      </c>
      <c r="O245">
        <v>6</v>
      </c>
      <c r="P245">
        <v>40.270000000000003</v>
      </c>
    </row>
    <row r="246" spans="1:16">
      <c r="A246" t="s">
        <v>257</v>
      </c>
      <c r="B246">
        <v>28</v>
      </c>
      <c r="C246" t="s">
        <v>414</v>
      </c>
      <c r="D246" t="s">
        <v>421</v>
      </c>
      <c r="E246" t="s">
        <v>425</v>
      </c>
      <c r="F246" t="s">
        <v>431</v>
      </c>
      <c r="G246">
        <v>239.95500000000001</v>
      </c>
      <c r="H246">
        <v>51.88</v>
      </c>
      <c r="I246">
        <v>34</v>
      </c>
      <c r="J246">
        <v>2702.35</v>
      </c>
      <c r="K246" t="s">
        <v>433</v>
      </c>
      <c r="L246" t="s">
        <v>436</v>
      </c>
      <c r="M246" t="s">
        <v>440</v>
      </c>
      <c r="N246" t="s">
        <v>444</v>
      </c>
      <c r="O246">
        <v>1</v>
      </c>
      <c r="P246">
        <v>1.29</v>
      </c>
    </row>
    <row r="247" spans="1:16">
      <c r="A247" t="s">
        <v>258</v>
      </c>
      <c r="B247">
        <v>57</v>
      </c>
      <c r="C247" t="s">
        <v>414</v>
      </c>
      <c r="D247" t="s">
        <v>416</v>
      </c>
      <c r="E247" t="s">
        <v>425</v>
      </c>
      <c r="F247" t="s">
        <v>429</v>
      </c>
      <c r="G247">
        <v>73.519000000000005</v>
      </c>
      <c r="H247">
        <v>81.266000000000005</v>
      </c>
      <c r="I247">
        <v>30</v>
      </c>
      <c r="J247">
        <v>3708.87</v>
      </c>
      <c r="K247" t="s">
        <v>432</v>
      </c>
      <c r="L247" t="s">
        <v>435</v>
      </c>
      <c r="M247" t="s">
        <v>438</v>
      </c>
      <c r="N247" t="s">
        <v>444</v>
      </c>
      <c r="O247">
        <v>5</v>
      </c>
      <c r="P247">
        <v>37.299999999999997</v>
      </c>
    </row>
    <row r="248" spans="1:16">
      <c r="A248" t="s">
        <v>259</v>
      </c>
      <c r="B248">
        <v>58</v>
      </c>
      <c r="C248" t="s">
        <v>414</v>
      </c>
      <c r="D248" t="s">
        <v>421</v>
      </c>
      <c r="E248" t="s">
        <v>425</v>
      </c>
      <c r="F248" t="s">
        <v>429</v>
      </c>
      <c r="G248">
        <v>111.542</v>
      </c>
      <c r="H248">
        <v>31.344999999999999</v>
      </c>
      <c r="I248">
        <v>47</v>
      </c>
      <c r="J248">
        <v>666.91</v>
      </c>
      <c r="K248" t="s">
        <v>432</v>
      </c>
      <c r="L248" t="s">
        <v>437</v>
      </c>
      <c r="M248" t="s">
        <v>440</v>
      </c>
      <c r="N248" t="s">
        <v>444</v>
      </c>
      <c r="O248">
        <v>10</v>
      </c>
      <c r="P248">
        <v>8.31</v>
      </c>
    </row>
    <row r="249" spans="1:16">
      <c r="A249" t="s">
        <v>260</v>
      </c>
      <c r="B249">
        <v>47</v>
      </c>
      <c r="C249" t="s">
        <v>413</v>
      </c>
      <c r="D249" t="s">
        <v>416</v>
      </c>
      <c r="E249" t="s">
        <v>425</v>
      </c>
      <c r="F249" t="s">
        <v>429</v>
      </c>
      <c r="G249">
        <v>97.575000000000003</v>
      </c>
      <c r="H249">
        <v>81.611000000000004</v>
      </c>
      <c r="I249">
        <v>115</v>
      </c>
      <c r="J249">
        <v>562.83000000000004</v>
      </c>
      <c r="K249" t="s">
        <v>432</v>
      </c>
      <c r="L249" t="s">
        <v>436</v>
      </c>
      <c r="M249" t="s">
        <v>438</v>
      </c>
      <c r="N249" t="s">
        <v>444</v>
      </c>
      <c r="O249">
        <v>10</v>
      </c>
      <c r="P249">
        <v>3.17</v>
      </c>
    </row>
    <row r="250" spans="1:16">
      <c r="A250" t="s">
        <v>261</v>
      </c>
      <c r="B250">
        <v>19</v>
      </c>
      <c r="C250" t="s">
        <v>413</v>
      </c>
      <c r="D250" t="s">
        <v>421</v>
      </c>
      <c r="E250" t="s">
        <v>425</v>
      </c>
      <c r="F250" t="s">
        <v>430</v>
      </c>
      <c r="G250">
        <v>58.780999999999999</v>
      </c>
      <c r="H250">
        <v>49.843000000000004</v>
      </c>
      <c r="I250">
        <v>19</v>
      </c>
      <c r="J250">
        <v>418.85</v>
      </c>
      <c r="K250" t="s">
        <v>432</v>
      </c>
      <c r="L250" t="s">
        <v>437</v>
      </c>
      <c r="M250" t="s">
        <v>438</v>
      </c>
      <c r="N250" t="s">
        <v>444</v>
      </c>
      <c r="O250">
        <v>1</v>
      </c>
      <c r="P250">
        <v>2.04</v>
      </c>
    </row>
    <row r="251" spans="1:16">
      <c r="A251" t="s">
        <v>262</v>
      </c>
      <c r="B251">
        <v>24</v>
      </c>
      <c r="C251" t="s">
        <v>413</v>
      </c>
      <c r="D251" t="s">
        <v>422</v>
      </c>
      <c r="E251" t="s">
        <v>425</v>
      </c>
      <c r="F251" t="s">
        <v>429</v>
      </c>
      <c r="G251">
        <v>75.123000000000005</v>
      </c>
      <c r="H251">
        <v>19.718</v>
      </c>
      <c r="I251">
        <v>80</v>
      </c>
      <c r="J251">
        <v>246.48</v>
      </c>
      <c r="K251" t="s">
        <v>433</v>
      </c>
      <c r="L251" t="s">
        <v>436</v>
      </c>
      <c r="M251" t="s">
        <v>442</v>
      </c>
      <c r="N251" t="s">
        <v>444</v>
      </c>
      <c r="O251">
        <v>6</v>
      </c>
      <c r="P251">
        <v>42.38</v>
      </c>
    </row>
    <row r="252" spans="1:16">
      <c r="A252" t="s">
        <v>263</v>
      </c>
      <c r="B252">
        <v>20</v>
      </c>
      <c r="C252" t="s">
        <v>413</v>
      </c>
      <c r="D252" t="s">
        <v>421</v>
      </c>
      <c r="E252" t="s">
        <v>425</v>
      </c>
      <c r="F252" t="s">
        <v>428</v>
      </c>
      <c r="G252">
        <v>237.31899999999999</v>
      </c>
      <c r="H252">
        <v>27.7</v>
      </c>
      <c r="I252">
        <v>59</v>
      </c>
      <c r="J252">
        <v>469.49</v>
      </c>
      <c r="K252" t="s">
        <v>432</v>
      </c>
      <c r="L252" t="s">
        <v>436</v>
      </c>
      <c r="M252" t="s">
        <v>439</v>
      </c>
      <c r="N252" t="s">
        <v>443</v>
      </c>
      <c r="O252">
        <v>5</v>
      </c>
      <c r="P252">
        <v>34.729999999999997</v>
      </c>
    </row>
    <row r="253" spans="1:16">
      <c r="A253" t="s">
        <v>264</v>
      </c>
      <c r="B253">
        <v>53</v>
      </c>
      <c r="C253" t="s">
        <v>413</v>
      </c>
      <c r="D253" t="s">
        <v>417</v>
      </c>
      <c r="E253" t="s">
        <v>426</v>
      </c>
      <c r="F253" t="s">
        <v>428</v>
      </c>
      <c r="G253">
        <v>201.20099999999999</v>
      </c>
      <c r="H253">
        <v>45.447000000000003</v>
      </c>
      <c r="I253">
        <v>44</v>
      </c>
      <c r="J253">
        <v>315.60000000000002</v>
      </c>
      <c r="K253" t="s">
        <v>433</v>
      </c>
      <c r="L253" t="s">
        <v>435</v>
      </c>
      <c r="M253" t="s">
        <v>442</v>
      </c>
      <c r="N253" t="s">
        <v>444</v>
      </c>
      <c r="O253">
        <v>7</v>
      </c>
      <c r="P253">
        <v>4.72</v>
      </c>
    </row>
    <row r="254" spans="1:16">
      <c r="A254" t="s">
        <v>265</v>
      </c>
      <c r="B254">
        <v>26</v>
      </c>
      <c r="C254" t="s">
        <v>414</v>
      </c>
      <c r="D254" t="s">
        <v>420</v>
      </c>
      <c r="E254" t="s">
        <v>425</v>
      </c>
      <c r="F254" t="s">
        <v>428</v>
      </c>
      <c r="G254">
        <v>179.874</v>
      </c>
      <c r="H254">
        <v>62.951999999999998</v>
      </c>
      <c r="I254">
        <v>55</v>
      </c>
      <c r="J254">
        <v>503.62</v>
      </c>
      <c r="K254" t="s">
        <v>432</v>
      </c>
      <c r="L254" t="s">
        <v>437</v>
      </c>
      <c r="M254" t="s">
        <v>442</v>
      </c>
      <c r="N254" t="s">
        <v>444</v>
      </c>
      <c r="O254">
        <v>8</v>
      </c>
      <c r="P254">
        <v>46.96</v>
      </c>
    </row>
    <row r="255" spans="1:16">
      <c r="A255" t="s">
        <v>266</v>
      </c>
      <c r="B255">
        <v>37</v>
      </c>
      <c r="C255" t="s">
        <v>414</v>
      </c>
      <c r="D255" t="s">
        <v>417</v>
      </c>
      <c r="E255" t="s">
        <v>425</v>
      </c>
      <c r="F255" t="s">
        <v>431</v>
      </c>
      <c r="G255">
        <v>189.57599999999999</v>
      </c>
      <c r="H255">
        <v>39.926000000000002</v>
      </c>
      <c r="I255">
        <v>48</v>
      </c>
      <c r="J255">
        <v>269.77</v>
      </c>
      <c r="K255" t="s">
        <v>433</v>
      </c>
      <c r="L255" t="s">
        <v>435</v>
      </c>
      <c r="M255" t="s">
        <v>438</v>
      </c>
      <c r="N255" t="s">
        <v>445</v>
      </c>
      <c r="O255">
        <v>1</v>
      </c>
      <c r="P255">
        <v>12.11</v>
      </c>
    </row>
    <row r="256" spans="1:16">
      <c r="A256" t="s">
        <v>267</v>
      </c>
      <c r="B256">
        <v>47</v>
      </c>
      <c r="C256" t="s">
        <v>413</v>
      </c>
      <c r="D256" t="s">
        <v>423</v>
      </c>
      <c r="E256" t="s">
        <v>426</v>
      </c>
      <c r="F256" t="s">
        <v>431</v>
      </c>
      <c r="G256">
        <v>45.768999999999998</v>
      </c>
      <c r="H256">
        <v>26.83</v>
      </c>
      <c r="I256">
        <v>23</v>
      </c>
      <c r="J256">
        <v>1166.52</v>
      </c>
      <c r="K256" t="s">
        <v>432</v>
      </c>
      <c r="L256" t="s">
        <v>436</v>
      </c>
      <c r="M256" t="s">
        <v>442</v>
      </c>
      <c r="N256" t="s">
        <v>444</v>
      </c>
      <c r="O256">
        <v>3</v>
      </c>
      <c r="P256">
        <v>22.97</v>
      </c>
    </row>
    <row r="257" spans="1:16">
      <c r="A257" t="s">
        <v>268</v>
      </c>
      <c r="B257">
        <v>27</v>
      </c>
      <c r="C257" t="s">
        <v>413</v>
      </c>
      <c r="D257" t="s">
        <v>422</v>
      </c>
      <c r="E257" t="s">
        <v>424</v>
      </c>
      <c r="F257" t="s">
        <v>429</v>
      </c>
      <c r="G257">
        <v>86.27</v>
      </c>
      <c r="H257">
        <v>47.259</v>
      </c>
      <c r="I257">
        <v>13</v>
      </c>
      <c r="J257">
        <v>418.22</v>
      </c>
      <c r="K257" t="s">
        <v>433</v>
      </c>
      <c r="L257" t="s">
        <v>435</v>
      </c>
      <c r="M257" t="s">
        <v>438</v>
      </c>
      <c r="N257" t="s">
        <v>445</v>
      </c>
      <c r="O257">
        <v>7</v>
      </c>
      <c r="P257">
        <v>15.56</v>
      </c>
    </row>
    <row r="258" spans="1:16">
      <c r="A258" t="s">
        <v>269</v>
      </c>
      <c r="B258">
        <v>46</v>
      </c>
      <c r="C258" t="s">
        <v>413</v>
      </c>
      <c r="D258" t="s">
        <v>419</v>
      </c>
      <c r="E258" t="s">
        <v>424</v>
      </c>
      <c r="F258" t="s">
        <v>428</v>
      </c>
      <c r="G258">
        <v>75.289000000000001</v>
      </c>
      <c r="H258">
        <v>63.597999999999999</v>
      </c>
      <c r="I258">
        <v>34</v>
      </c>
      <c r="J258">
        <v>474.61</v>
      </c>
      <c r="K258" t="s">
        <v>432</v>
      </c>
      <c r="L258" t="s">
        <v>434</v>
      </c>
      <c r="M258" t="s">
        <v>442</v>
      </c>
      <c r="N258" t="s">
        <v>444</v>
      </c>
      <c r="O258">
        <v>1</v>
      </c>
      <c r="P258">
        <v>31.26</v>
      </c>
    </row>
    <row r="259" spans="1:16">
      <c r="A259" t="s">
        <v>270</v>
      </c>
      <c r="B259">
        <v>67</v>
      </c>
      <c r="C259" t="s">
        <v>413</v>
      </c>
      <c r="D259" t="s">
        <v>423</v>
      </c>
      <c r="E259" t="s">
        <v>424</v>
      </c>
      <c r="F259" t="s">
        <v>431</v>
      </c>
      <c r="G259">
        <v>195.17699999999999</v>
      </c>
      <c r="H259">
        <v>61.579000000000001</v>
      </c>
      <c r="I259">
        <v>43</v>
      </c>
      <c r="J259">
        <v>2129.7399999999998</v>
      </c>
      <c r="K259" t="s">
        <v>433</v>
      </c>
      <c r="L259" t="s">
        <v>434</v>
      </c>
      <c r="M259" t="s">
        <v>439</v>
      </c>
      <c r="N259" t="s">
        <v>445</v>
      </c>
      <c r="O259">
        <v>9</v>
      </c>
      <c r="P259">
        <v>39.380000000000003</v>
      </c>
    </row>
    <row r="260" spans="1:16">
      <c r="A260" t="s">
        <v>271</v>
      </c>
      <c r="B260">
        <v>75</v>
      </c>
      <c r="C260" t="s">
        <v>413</v>
      </c>
      <c r="D260" t="s">
        <v>416</v>
      </c>
      <c r="E260" t="s">
        <v>425</v>
      </c>
      <c r="F260" t="s">
        <v>431</v>
      </c>
      <c r="G260">
        <v>177.054</v>
      </c>
      <c r="H260">
        <v>78.978999999999999</v>
      </c>
      <c r="I260">
        <v>42</v>
      </c>
      <c r="J260">
        <v>2594.7399999999998</v>
      </c>
      <c r="K260" t="s">
        <v>432</v>
      </c>
      <c r="L260" t="s">
        <v>434</v>
      </c>
      <c r="M260" t="s">
        <v>441</v>
      </c>
      <c r="N260" t="s">
        <v>444</v>
      </c>
      <c r="O260">
        <v>5</v>
      </c>
      <c r="P260">
        <v>21.94</v>
      </c>
    </row>
    <row r="261" spans="1:16">
      <c r="A261" t="s">
        <v>272</v>
      </c>
      <c r="B261">
        <v>24</v>
      </c>
      <c r="C261" t="s">
        <v>413</v>
      </c>
      <c r="D261" t="s">
        <v>420</v>
      </c>
      <c r="E261" t="s">
        <v>424</v>
      </c>
      <c r="F261" t="s">
        <v>428</v>
      </c>
      <c r="G261">
        <v>140.80199999999999</v>
      </c>
      <c r="H261">
        <v>78.134</v>
      </c>
      <c r="I261">
        <v>63</v>
      </c>
      <c r="J261">
        <v>1875.14</v>
      </c>
      <c r="K261" t="s">
        <v>432</v>
      </c>
      <c r="L261" t="s">
        <v>435</v>
      </c>
      <c r="M261" t="s">
        <v>442</v>
      </c>
      <c r="N261" t="s">
        <v>443</v>
      </c>
      <c r="O261">
        <v>1</v>
      </c>
      <c r="P261">
        <v>34.44</v>
      </c>
    </row>
    <row r="262" spans="1:16">
      <c r="A262" t="s">
        <v>273</v>
      </c>
      <c r="B262">
        <v>55</v>
      </c>
      <c r="C262" t="s">
        <v>415</v>
      </c>
      <c r="D262" t="s">
        <v>422</v>
      </c>
      <c r="E262" t="s">
        <v>425</v>
      </c>
      <c r="F262" t="s">
        <v>431</v>
      </c>
      <c r="G262">
        <v>125.178</v>
      </c>
      <c r="H262">
        <v>14.388999999999999</v>
      </c>
      <c r="I262">
        <v>43</v>
      </c>
      <c r="J262">
        <v>334.63</v>
      </c>
      <c r="K262" t="s">
        <v>432</v>
      </c>
      <c r="L262" t="s">
        <v>436</v>
      </c>
      <c r="M262" t="s">
        <v>442</v>
      </c>
      <c r="N262" t="s">
        <v>444</v>
      </c>
      <c r="O262">
        <v>1</v>
      </c>
      <c r="P262">
        <v>13.16</v>
      </c>
    </row>
    <row r="263" spans="1:16">
      <c r="A263" t="s">
        <v>274</v>
      </c>
      <c r="B263">
        <v>34</v>
      </c>
      <c r="C263" t="s">
        <v>413</v>
      </c>
      <c r="D263" t="s">
        <v>419</v>
      </c>
      <c r="E263" t="s">
        <v>425</v>
      </c>
      <c r="F263" t="s">
        <v>431</v>
      </c>
      <c r="G263">
        <v>33.585999999999999</v>
      </c>
      <c r="H263">
        <v>34.430999999999997</v>
      </c>
      <c r="I263">
        <v>12</v>
      </c>
      <c r="J263">
        <v>307.42</v>
      </c>
      <c r="K263" t="s">
        <v>433</v>
      </c>
      <c r="L263" t="s">
        <v>435</v>
      </c>
      <c r="M263" t="s">
        <v>442</v>
      </c>
      <c r="N263" t="s">
        <v>445</v>
      </c>
      <c r="O263">
        <v>2</v>
      </c>
      <c r="P263">
        <v>30</v>
      </c>
    </row>
    <row r="264" spans="1:16">
      <c r="A264" t="s">
        <v>275</v>
      </c>
      <c r="B264">
        <v>25</v>
      </c>
      <c r="C264" t="s">
        <v>413</v>
      </c>
      <c r="D264" t="s">
        <v>416</v>
      </c>
      <c r="E264" t="s">
        <v>425</v>
      </c>
      <c r="F264" t="s">
        <v>431</v>
      </c>
      <c r="G264">
        <v>139.66300000000001</v>
      </c>
      <c r="H264">
        <v>73.447000000000003</v>
      </c>
      <c r="I264">
        <v>50</v>
      </c>
      <c r="J264">
        <v>1868.94</v>
      </c>
      <c r="K264" t="s">
        <v>432</v>
      </c>
      <c r="L264" t="s">
        <v>436</v>
      </c>
      <c r="M264" t="s">
        <v>439</v>
      </c>
      <c r="N264" t="s">
        <v>444</v>
      </c>
      <c r="O264">
        <v>7</v>
      </c>
      <c r="P264">
        <v>20.28</v>
      </c>
    </row>
    <row r="265" spans="1:16">
      <c r="A265" t="s">
        <v>276</v>
      </c>
      <c r="B265">
        <v>26</v>
      </c>
      <c r="C265" t="s">
        <v>413</v>
      </c>
      <c r="D265" t="s">
        <v>422</v>
      </c>
      <c r="E265" t="s">
        <v>426</v>
      </c>
      <c r="F265" t="s">
        <v>429</v>
      </c>
      <c r="G265">
        <v>151.58600000000001</v>
      </c>
      <c r="H265">
        <v>108.227</v>
      </c>
      <c r="I265">
        <v>109</v>
      </c>
      <c r="J265">
        <v>992.91</v>
      </c>
      <c r="K265" t="s">
        <v>433</v>
      </c>
      <c r="L265" t="s">
        <v>434</v>
      </c>
      <c r="M265" t="s">
        <v>442</v>
      </c>
      <c r="N265" t="s">
        <v>443</v>
      </c>
      <c r="O265">
        <v>1</v>
      </c>
      <c r="P265">
        <v>4.38</v>
      </c>
    </row>
    <row r="266" spans="1:16">
      <c r="A266" t="s">
        <v>277</v>
      </c>
      <c r="B266">
        <v>37</v>
      </c>
      <c r="C266" t="s">
        <v>413</v>
      </c>
      <c r="D266" t="s">
        <v>421</v>
      </c>
      <c r="E266" t="s">
        <v>424</v>
      </c>
      <c r="F266" t="s">
        <v>429</v>
      </c>
      <c r="G266">
        <v>188.31899999999999</v>
      </c>
      <c r="H266">
        <v>68.197999999999993</v>
      </c>
      <c r="I266">
        <v>90</v>
      </c>
      <c r="J266">
        <v>757.76</v>
      </c>
      <c r="K266" t="s">
        <v>433</v>
      </c>
      <c r="L266" t="s">
        <v>436</v>
      </c>
      <c r="M266" t="s">
        <v>441</v>
      </c>
      <c r="N266" t="s">
        <v>443</v>
      </c>
      <c r="O266">
        <v>9</v>
      </c>
      <c r="P266">
        <v>16.79</v>
      </c>
    </row>
    <row r="267" spans="1:16">
      <c r="A267" t="s">
        <v>278</v>
      </c>
      <c r="B267">
        <v>61</v>
      </c>
      <c r="C267" t="s">
        <v>414</v>
      </c>
      <c r="D267" t="s">
        <v>417</v>
      </c>
      <c r="E267" t="s">
        <v>424</v>
      </c>
      <c r="F267" t="s">
        <v>429</v>
      </c>
      <c r="G267">
        <v>59.548000000000002</v>
      </c>
      <c r="H267">
        <v>48.252000000000002</v>
      </c>
      <c r="I267">
        <v>63</v>
      </c>
      <c r="J267">
        <v>765.9</v>
      </c>
      <c r="K267" t="s">
        <v>432</v>
      </c>
      <c r="L267" t="s">
        <v>435</v>
      </c>
      <c r="M267" t="s">
        <v>439</v>
      </c>
      <c r="N267" t="s">
        <v>444</v>
      </c>
      <c r="O267">
        <v>3</v>
      </c>
      <c r="P267">
        <v>10.68</v>
      </c>
    </row>
    <row r="268" spans="1:16">
      <c r="A268" t="s">
        <v>279</v>
      </c>
      <c r="B268">
        <v>53</v>
      </c>
      <c r="C268" t="s">
        <v>413</v>
      </c>
      <c r="D268" t="s">
        <v>422</v>
      </c>
      <c r="E268" t="s">
        <v>425</v>
      </c>
      <c r="F268" t="s">
        <v>428</v>
      </c>
      <c r="G268">
        <v>146.72399999999999</v>
      </c>
      <c r="H268">
        <v>67.492999999999995</v>
      </c>
      <c r="I268">
        <v>5</v>
      </c>
      <c r="J268">
        <v>19498.599999999999</v>
      </c>
      <c r="K268" t="s">
        <v>433</v>
      </c>
      <c r="L268" t="s">
        <v>435</v>
      </c>
      <c r="M268" t="s">
        <v>438</v>
      </c>
      <c r="N268" t="s">
        <v>444</v>
      </c>
      <c r="O268">
        <v>4</v>
      </c>
      <c r="P268">
        <v>10.32</v>
      </c>
    </row>
    <row r="269" spans="1:16">
      <c r="A269" t="s">
        <v>280</v>
      </c>
      <c r="B269">
        <v>55</v>
      </c>
      <c r="C269" t="s">
        <v>413</v>
      </c>
      <c r="D269" t="s">
        <v>419</v>
      </c>
      <c r="E269" t="s">
        <v>426</v>
      </c>
      <c r="F269" t="s">
        <v>429</v>
      </c>
      <c r="G269">
        <v>221.92099999999999</v>
      </c>
      <c r="H269">
        <v>8.6549999999999994</v>
      </c>
      <c r="I269">
        <v>18</v>
      </c>
      <c r="J269">
        <v>73.349999999999994</v>
      </c>
      <c r="K269" t="s">
        <v>432</v>
      </c>
      <c r="L269" t="s">
        <v>435</v>
      </c>
      <c r="M269" t="s">
        <v>440</v>
      </c>
      <c r="N269" t="s">
        <v>444</v>
      </c>
      <c r="O269">
        <v>4</v>
      </c>
      <c r="P269">
        <v>14.17</v>
      </c>
    </row>
    <row r="270" spans="1:16">
      <c r="A270" t="s">
        <v>281</v>
      </c>
      <c r="B270">
        <v>63</v>
      </c>
      <c r="C270" t="s">
        <v>414</v>
      </c>
      <c r="D270" t="s">
        <v>420</v>
      </c>
      <c r="E270" t="s">
        <v>426</v>
      </c>
      <c r="F270" t="s">
        <v>429</v>
      </c>
      <c r="G270">
        <v>246.58699999999999</v>
      </c>
      <c r="H270">
        <v>122.913</v>
      </c>
      <c r="I270">
        <v>82</v>
      </c>
      <c r="J270">
        <v>1255.04</v>
      </c>
      <c r="K270" t="s">
        <v>433</v>
      </c>
      <c r="L270" t="s">
        <v>436</v>
      </c>
      <c r="M270" t="s">
        <v>441</v>
      </c>
      <c r="N270" t="s">
        <v>444</v>
      </c>
      <c r="O270">
        <v>3</v>
      </c>
      <c r="P270">
        <v>18.96</v>
      </c>
    </row>
    <row r="271" spans="1:16">
      <c r="A271" t="s">
        <v>282</v>
      </c>
      <c r="B271">
        <v>69</v>
      </c>
      <c r="C271" t="s">
        <v>413</v>
      </c>
      <c r="D271" t="s">
        <v>420</v>
      </c>
      <c r="E271" t="s">
        <v>425</v>
      </c>
      <c r="F271" t="s">
        <v>428</v>
      </c>
      <c r="G271">
        <v>159.26300000000001</v>
      </c>
      <c r="H271">
        <v>81.756</v>
      </c>
      <c r="I271">
        <v>91</v>
      </c>
      <c r="J271">
        <v>898.42</v>
      </c>
      <c r="K271" t="s">
        <v>432</v>
      </c>
      <c r="L271" t="s">
        <v>436</v>
      </c>
      <c r="M271" t="s">
        <v>440</v>
      </c>
      <c r="N271" t="s">
        <v>444</v>
      </c>
      <c r="O271">
        <v>9</v>
      </c>
      <c r="P271">
        <v>14.42</v>
      </c>
    </row>
    <row r="272" spans="1:16">
      <c r="A272" t="s">
        <v>283</v>
      </c>
      <c r="B272">
        <v>69</v>
      </c>
      <c r="C272" t="s">
        <v>414</v>
      </c>
      <c r="D272" t="s">
        <v>419</v>
      </c>
      <c r="E272" t="s">
        <v>425</v>
      </c>
      <c r="F272" t="s">
        <v>428</v>
      </c>
      <c r="G272">
        <v>223.715</v>
      </c>
      <c r="H272">
        <v>76.995999999999995</v>
      </c>
      <c r="I272">
        <v>64</v>
      </c>
      <c r="J272">
        <v>1203.06</v>
      </c>
      <c r="K272" t="s">
        <v>432</v>
      </c>
      <c r="L272" t="s">
        <v>437</v>
      </c>
      <c r="M272" t="s">
        <v>439</v>
      </c>
      <c r="N272" t="s">
        <v>444</v>
      </c>
      <c r="O272">
        <v>2</v>
      </c>
      <c r="P272">
        <v>14.23</v>
      </c>
    </row>
    <row r="273" spans="1:16">
      <c r="A273" t="s">
        <v>284</v>
      </c>
      <c r="B273">
        <v>18</v>
      </c>
      <c r="C273" t="s">
        <v>413</v>
      </c>
      <c r="D273" t="s">
        <v>418</v>
      </c>
      <c r="E273" t="s">
        <v>425</v>
      </c>
      <c r="F273" t="s">
        <v>428</v>
      </c>
      <c r="G273">
        <v>240.40700000000001</v>
      </c>
      <c r="H273">
        <v>40.551000000000002</v>
      </c>
      <c r="I273">
        <v>29</v>
      </c>
      <c r="J273">
        <v>372.03</v>
      </c>
      <c r="K273" t="s">
        <v>433</v>
      </c>
      <c r="L273" t="s">
        <v>435</v>
      </c>
      <c r="M273" t="s">
        <v>442</v>
      </c>
      <c r="N273" t="s">
        <v>444</v>
      </c>
      <c r="O273">
        <v>4</v>
      </c>
      <c r="P273">
        <v>36.380000000000003</v>
      </c>
    </row>
    <row r="274" spans="1:16">
      <c r="A274" t="s">
        <v>285</v>
      </c>
      <c r="B274">
        <v>26</v>
      </c>
      <c r="C274" t="s">
        <v>414</v>
      </c>
      <c r="D274" t="s">
        <v>418</v>
      </c>
      <c r="E274" t="s">
        <v>425</v>
      </c>
      <c r="F274" t="s">
        <v>429</v>
      </c>
      <c r="G274">
        <v>136.40700000000001</v>
      </c>
      <c r="H274">
        <v>56.929000000000002</v>
      </c>
      <c r="I274">
        <v>59</v>
      </c>
      <c r="J274">
        <v>964.9</v>
      </c>
      <c r="K274" t="s">
        <v>432</v>
      </c>
      <c r="L274" t="s">
        <v>436</v>
      </c>
      <c r="M274" t="s">
        <v>439</v>
      </c>
      <c r="N274" t="s">
        <v>444</v>
      </c>
      <c r="O274">
        <v>1</v>
      </c>
      <c r="P274">
        <v>42.92</v>
      </c>
    </row>
    <row r="275" spans="1:16">
      <c r="A275" t="s">
        <v>286</v>
      </c>
      <c r="B275">
        <v>46</v>
      </c>
      <c r="C275" t="s">
        <v>414</v>
      </c>
      <c r="D275" t="s">
        <v>421</v>
      </c>
      <c r="E275" t="s">
        <v>424</v>
      </c>
      <c r="F275" t="s">
        <v>429</v>
      </c>
      <c r="G275">
        <v>34.119</v>
      </c>
      <c r="H275">
        <v>58.874000000000002</v>
      </c>
      <c r="I275">
        <v>64</v>
      </c>
      <c r="J275">
        <v>1388.66</v>
      </c>
      <c r="K275" t="s">
        <v>432</v>
      </c>
      <c r="L275" t="s">
        <v>435</v>
      </c>
      <c r="M275" t="s">
        <v>440</v>
      </c>
      <c r="N275" t="s">
        <v>443</v>
      </c>
      <c r="O275">
        <v>1</v>
      </c>
      <c r="P275">
        <v>17.79</v>
      </c>
    </row>
    <row r="276" spans="1:16">
      <c r="A276" t="s">
        <v>287</v>
      </c>
      <c r="B276">
        <v>36</v>
      </c>
      <c r="C276" t="s">
        <v>413</v>
      </c>
      <c r="D276" t="s">
        <v>418</v>
      </c>
      <c r="E276" t="s">
        <v>427</v>
      </c>
      <c r="F276" t="s">
        <v>429</v>
      </c>
      <c r="G276">
        <v>101.81699999999999</v>
      </c>
      <c r="H276">
        <v>10.159000000000001</v>
      </c>
      <c r="I276">
        <v>9</v>
      </c>
      <c r="J276">
        <v>11128.78</v>
      </c>
      <c r="K276" t="s">
        <v>432</v>
      </c>
      <c r="L276" t="s">
        <v>435</v>
      </c>
      <c r="M276" t="s">
        <v>441</v>
      </c>
      <c r="N276" t="s">
        <v>443</v>
      </c>
      <c r="O276">
        <v>1</v>
      </c>
      <c r="P276">
        <v>13.38</v>
      </c>
    </row>
    <row r="277" spans="1:16">
      <c r="A277" t="s">
        <v>288</v>
      </c>
      <c r="B277">
        <v>46</v>
      </c>
      <c r="C277" t="s">
        <v>414</v>
      </c>
      <c r="D277" t="s">
        <v>418</v>
      </c>
      <c r="E277" t="s">
        <v>424</v>
      </c>
      <c r="F277" t="s">
        <v>429</v>
      </c>
      <c r="G277">
        <v>26.132999999999999</v>
      </c>
      <c r="H277">
        <v>37.042999999999999</v>
      </c>
      <c r="I277">
        <v>40</v>
      </c>
      <c r="J277">
        <v>264.58999999999997</v>
      </c>
      <c r="K277" t="s">
        <v>432</v>
      </c>
      <c r="L277" t="s">
        <v>435</v>
      </c>
      <c r="M277" t="s">
        <v>440</v>
      </c>
      <c r="N277" t="s">
        <v>444</v>
      </c>
      <c r="O277">
        <v>10</v>
      </c>
      <c r="P277">
        <v>11.34</v>
      </c>
    </row>
    <row r="278" spans="1:16">
      <c r="A278" t="s">
        <v>289</v>
      </c>
      <c r="B278">
        <v>27</v>
      </c>
      <c r="C278" t="s">
        <v>413</v>
      </c>
      <c r="D278" t="s">
        <v>418</v>
      </c>
      <c r="E278" t="s">
        <v>425</v>
      </c>
      <c r="F278" t="s">
        <v>431</v>
      </c>
      <c r="G278">
        <v>141.33699999999999</v>
      </c>
      <c r="H278">
        <v>53.613</v>
      </c>
      <c r="I278">
        <v>80</v>
      </c>
      <c r="J278">
        <v>670.16</v>
      </c>
      <c r="K278" t="s">
        <v>433</v>
      </c>
      <c r="L278" t="s">
        <v>434</v>
      </c>
      <c r="M278" t="s">
        <v>442</v>
      </c>
      <c r="N278" t="s">
        <v>444</v>
      </c>
      <c r="O278">
        <v>6</v>
      </c>
      <c r="P278">
        <v>8.82</v>
      </c>
    </row>
    <row r="279" spans="1:16">
      <c r="A279" t="s">
        <v>290</v>
      </c>
      <c r="B279">
        <v>22</v>
      </c>
      <c r="C279" t="s">
        <v>413</v>
      </c>
      <c r="D279" t="s">
        <v>417</v>
      </c>
      <c r="E279" t="s">
        <v>424</v>
      </c>
      <c r="F279" t="s">
        <v>429</v>
      </c>
      <c r="G279">
        <v>86.988</v>
      </c>
      <c r="H279">
        <v>46.360999999999997</v>
      </c>
      <c r="I279">
        <v>49</v>
      </c>
      <c r="J279">
        <v>1966.55</v>
      </c>
      <c r="K279" t="s">
        <v>433</v>
      </c>
      <c r="L279" t="s">
        <v>436</v>
      </c>
      <c r="M279" t="s">
        <v>440</v>
      </c>
      <c r="N279" t="s">
        <v>445</v>
      </c>
      <c r="O279">
        <v>8</v>
      </c>
      <c r="P279">
        <v>47.59</v>
      </c>
    </row>
    <row r="280" spans="1:16">
      <c r="A280" t="s">
        <v>291</v>
      </c>
      <c r="B280">
        <v>60</v>
      </c>
      <c r="C280" t="s">
        <v>414</v>
      </c>
      <c r="D280" t="s">
        <v>420</v>
      </c>
      <c r="E280" t="s">
        <v>424</v>
      </c>
      <c r="F280" t="s">
        <v>428</v>
      </c>
      <c r="G280">
        <v>32.802999999999997</v>
      </c>
      <c r="H280">
        <v>55.649000000000001</v>
      </c>
      <c r="I280">
        <v>53</v>
      </c>
      <c r="J280">
        <v>1049.98</v>
      </c>
      <c r="K280" t="s">
        <v>432</v>
      </c>
      <c r="L280" t="s">
        <v>435</v>
      </c>
      <c r="M280" t="s">
        <v>440</v>
      </c>
      <c r="N280" t="s">
        <v>444</v>
      </c>
      <c r="O280">
        <v>4</v>
      </c>
      <c r="P280">
        <v>0.89</v>
      </c>
    </row>
    <row r="281" spans="1:16">
      <c r="A281" t="s">
        <v>292</v>
      </c>
      <c r="B281">
        <v>19</v>
      </c>
      <c r="C281" t="s">
        <v>413</v>
      </c>
      <c r="D281" t="s">
        <v>416</v>
      </c>
      <c r="E281" t="s">
        <v>424</v>
      </c>
      <c r="F281" t="s">
        <v>429</v>
      </c>
      <c r="G281">
        <v>136.79599999999999</v>
      </c>
      <c r="H281">
        <v>32.064999999999998</v>
      </c>
      <c r="I281">
        <v>33</v>
      </c>
      <c r="J281">
        <v>283.76</v>
      </c>
      <c r="K281" t="s">
        <v>433</v>
      </c>
      <c r="L281" t="s">
        <v>435</v>
      </c>
      <c r="M281" t="s">
        <v>442</v>
      </c>
      <c r="N281" t="s">
        <v>445</v>
      </c>
      <c r="O281">
        <v>4</v>
      </c>
      <c r="P281">
        <v>40.78</v>
      </c>
    </row>
    <row r="282" spans="1:16">
      <c r="A282" t="s">
        <v>293</v>
      </c>
      <c r="B282">
        <v>70</v>
      </c>
      <c r="C282" t="s">
        <v>414</v>
      </c>
      <c r="D282" t="s">
        <v>418</v>
      </c>
      <c r="E282" t="s">
        <v>424</v>
      </c>
      <c r="F282" t="s">
        <v>429</v>
      </c>
      <c r="G282">
        <v>148.48500000000001</v>
      </c>
      <c r="H282">
        <v>8.5210000000000008</v>
      </c>
      <c r="I282">
        <v>14</v>
      </c>
      <c r="J282">
        <v>608.64</v>
      </c>
      <c r="K282" t="s">
        <v>432</v>
      </c>
      <c r="L282" t="s">
        <v>435</v>
      </c>
      <c r="M282" t="s">
        <v>440</v>
      </c>
      <c r="N282" t="s">
        <v>444</v>
      </c>
      <c r="O282">
        <v>4</v>
      </c>
      <c r="P282">
        <v>24.29</v>
      </c>
    </row>
    <row r="283" spans="1:16">
      <c r="A283" t="s">
        <v>294</v>
      </c>
      <c r="B283">
        <v>53</v>
      </c>
      <c r="C283" t="s">
        <v>413</v>
      </c>
      <c r="D283" t="s">
        <v>418</v>
      </c>
      <c r="E283" t="s">
        <v>425</v>
      </c>
      <c r="F283" t="s">
        <v>429</v>
      </c>
      <c r="G283">
        <v>115.306</v>
      </c>
      <c r="H283">
        <v>31.047999999999998</v>
      </c>
      <c r="I283">
        <v>48</v>
      </c>
      <c r="J283">
        <v>771.59</v>
      </c>
      <c r="K283" t="s">
        <v>433</v>
      </c>
      <c r="L283" t="s">
        <v>435</v>
      </c>
      <c r="M283" t="s">
        <v>439</v>
      </c>
      <c r="N283" t="s">
        <v>443</v>
      </c>
      <c r="O283">
        <v>7</v>
      </c>
      <c r="P283">
        <v>30.55</v>
      </c>
    </row>
    <row r="284" spans="1:16">
      <c r="A284" t="s">
        <v>295</v>
      </c>
      <c r="B284">
        <v>43</v>
      </c>
      <c r="C284" t="s">
        <v>413</v>
      </c>
      <c r="D284" t="s">
        <v>418</v>
      </c>
      <c r="E284" t="s">
        <v>424</v>
      </c>
      <c r="F284" t="s">
        <v>429</v>
      </c>
      <c r="G284">
        <v>75.638999999999996</v>
      </c>
      <c r="H284">
        <v>15.81</v>
      </c>
      <c r="I284">
        <v>24</v>
      </c>
      <c r="J284">
        <v>127.5</v>
      </c>
      <c r="K284" t="s">
        <v>432</v>
      </c>
      <c r="L284" t="s">
        <v>435</v>
      </c>
      <c r="M284" t="s">
        <v>438</v>
      </c>
      <c r="N284" t="s">
        <v>443</v>
      </c>
      <c r="O284">
        <v>5</v>
      </c>
      <c r="P284">
        <v>45.17</v>
      </c>
    </row>
    <row r="285" spans="1:16">
      <c r="A285" t="s">
        <v>296</v>
      </c>
      <c r="B285">
        <v>70</v>
      </c>
      <c r="C285" t="s">
        <v>413</v>
      </c>
      <c r="D285" t="s">
        <v>423</v>
      </c>
      <c r="E285" t="s">
        <v>424</v>
      </c>
      <c r="F285" t="s">
        <v>429</v>
      </c>
      <c r="G285">
        <v>36.390999999999998</v>
      </c>
      <c r="H285">
        <v>52.011000000000003</v>
      </c>
      <c r="I285">
        <v>40</v>
      </c>
      <c r="J285">
        <v>1300.28</v>
      </c>
      <c r="K285" t="s">
        <v>432</v>
      </c>
      <c r="L285" t="s">
        <v>437</v>
      </c>
      <c r="M285" t="s">
        <v>438</v>
      </c>
      <c r="N285" t="s">
        <v>444</v>
      </c>
      <c r="O285">
        <v>9</v>
      </c>
      <c r="P285">
        <v>40.92</v>
      </c>
    </row>
    <row r="286" spans="1:16">
      <c r="A286" t="s">
        <v>297</v>
      </c>
      <c r="B286">
        <v>23</v>
      </c>
      <c r="C286" t="s">
        <v>413</v>
      </c>
      <c r="D286" t="s">
        <v>421</v>
      </c>
      <c r="E286" t="s">
        <v>424</v>
      </c>
      <c r="F286" t="s">
        <v>428</v>
      </c>
      <c r="G286">
        <v>236.41200000000001</v>
      </c>
      <c r="H286">
        <v>19.332999999999998</v>
      </c>
      <c r="I286">
        <v>11</v>
      </c>
      <c r="J286">
        <v>137.11000000000001</v>
      </c>
      <c r="K286" t="s">
        <v>432</v>
      </c>
      <c r="L286" t="s">
        <v>435</v>
      </c>
      <c r="M286" t="s">
        <v>439</v>
      </c>
      <c r="N286" t="s">
        <v>443</v>
      </c>
      <c r="O286">
        <v>10</v>
      </c>
      <c r="P286">
        <v>3.3</v>
      </c>
    </row>
    <row r="287" spans="1:16">
      <c r="A287" t="s">
        <v>298</v>
      </c>
      <c r="B287">
        <v>72</v>
      </c>
      <c r="C287" t="s">
        <v>413</v>
      </c>
      <c r="D287" t="s">
        <v>416</v>
      </c>
      <c r="E287" t="s">
        <v>425</v>
      </c>
      <c r="F287" t="s">
        <v>429</v>
      </c>
      <c r="G287">
        <v>175.15299999999999</v>
      </c>
      <c r="H287">
        <v>22.359000000000002</v>
      </c>
      <c r="I287">
        <v>39</v>
      </c>
      <c r="J287">
        <v>573.30999999999995</v>
      </c>
      <c r="K287" t="s">
        <v>432</v>
      </c>
      <c r="L287" t="s">
        <v>436</v>
      </c>
      <c r="M287" t="s">
        <v>441</v>
      </c>
      <c r="N287" t="s">
        <v>445</v>
      </c>
      <c r="O287">
        <v>1</v>
      </c>
      <c r="P287">
        <v>33.17</v>
      </c>
    </row>
    <row r="288" spans="1:16">
      <c r="A288" t="s">
        <v>299</v>
      </c>
      <c r="B288">
        <v>50</v>
      </c>
      <c r="C288" t="s">
        <v>414</v>
      </c>
      <c r="D288" t="s">
        <v>423</v>
      </c>
      <c r="E288" t="s">
        <v>425</v>
      </c>
      <c r="F288" t="s">
        <v>428</v>
      </c>
      <c r="G288">
        <v>199.15700000000001</v>
      </c>
      <c r="H288">
        <v>23.946000000000002</v>
      </c>
      <c r="I288">
        <v>10</v>
      </c>
      <c r="J288">
        <v>239.46</v>
      </c>
      <c r="K288" t="s">
        <v>432</v>
      </c>
      <c r="L288" t="s">
        <v>435</v>
      </c>
      <c r="M288" t="s">
        <v>442</v>
      </c>
      <c r="N288" t="s">
        <v>443</v>
      </c>
      <c r="O288">
        <v>10</v>
      </c>
      <c r="P288">
        <v>19.37</v>
      </c>
    </row>
    <row r="289" spans="1:16">
      <c r="A289" t="s">
        <v>300</v>
      </c>
      <c r="B289">
        <v>19</v>
      </c>
      <c r="C289" t="s">
        <v>413</v>
      </c>
      <c r="D289" t="s">
        <v>423</v>
      </c>
      <c r="E289" t="s">
        <v>425</v>
      </c>
      <c r="F289" t="s">
        <v>428</v>
      </c>
      <c r="G289">
        <v>190.678</v>
      </c>
      <c r="H289">
        <v>49.584000000000003</v>
      </c>
      <c r="I289">
        <v>48</v>
      </c>
      <c r="J289">
        <v>1013.42</v>
      </c>
      <c r="K289" t="s">
        <v>433</v>
      </c>
      <c r="L289" t="s">
        <v>436</v>
      </c>
      <c r="M289" t="s">
        <v>442</v>
      </c>
      <c r="N289" t="s">
        <v>443</v>
      </c>
      <c r="O289">
        <v>6</v>
      </c>
      <c r="P289">
        <v>49.94</v>
      </c>
    </row>
    <row r="290" spans="1:16">
      <c r="A290" t="s">
        <v>301</v>
      </c>
      <c r="B290">
        <v>21</v>
      </c>
      <c r="C290" t="s">
        <v>413</v>
      </c>
      <c r="D290" t="s">
        <v>417</v>
      </c>
      <c r="E290" t="s">
        <v>426</v>
      </c>
      <c r="F290" t="s">
        <v>429</v>
      </c>
      <c r="G290">
        <v>98.540999999999997</v>
      </c>
      <c r="H290">
        <v>17.37</v>
      </c>
      <c r="I290">
        <v>14</v>
      </c>
      <c r="J290">
        <v>838.36</v>
      </c>
      <c r="K290" t="s">
        <v>433</v>
      </c>
      <c r="L290" t="s">
        <v>436</v>
      </c>
      <c r="M290" t="s">
        <v>439</v>
      </c>
      <c r="N290" t="s">
        <v>444</v>
      </c>
      <c r="O290">
        <v>8</v>
      </c>
      <c r="P290">
        <v>8.9</v>
      </c>
    </row>
    <row r="291" spans="1:16">
      <c r="A291" t="s">
        <v>302</v>
      </c>
      <c r="B291">
        <v>44</v>
      </c>
      <c r="C291" t="s">
        <v>413</v>
      </c>
      <c r="D291" t="s">
        <v>422</v>
      </c>
      <c r="E291" t="s">
        <v>424</v>
      </c>
      <c r="F291" t="s">
        <v>429</v>
      </c>
      <c r="G291">
        <v>22.556999999999999</v>
      </c>
      <c r="H291">
        <v>37.393000000000001</v>
      </c>
      <c r="I291">
        <v>63</v>
      </c>
      <c r="J291">
        <v>593.54</v>
      </c>
      <c r="K291" t="s">
        <v>432</v>
      </c>
      <c r="L291" t="s">
        <v>435</v>
      </c>
      <c r="M291" t="s">
        <v>442</v>
      </c>
      <c r="N291" t="s">
        <v>443</v>
      </c>
      <c r="O291">
        <v>10</v>
      </c>
      <c r="P291">
        <v>26.27</v>
      </c>
    </row>
    <row r="292" spans="1:16">
      <c r="A292" t="s">
        <v>303</v>
      </c>
      <c r="B292">
        <v>38</v>
      </c>
      <c r="C292" t="s">
        <v>414</v>
      </c>
      <c r="D292" t="s">
        <v>422</v>
      </c>
      <c r="E292" t="s">
        <v>424</v>
      </c>
      <c r="F292" t="s">
        <v>428</v>
      </c>
      <c r="G292">
        <v>129.02699999999999</v>
      </c>
      <c r="H292">
        <v>79.382000000000005</v>
      </c>
      <c r="I292">
        <v>34</v>
      </c>
      <c r="J292">
        <v>2334.7600000000002</v>
      </c>
      <c r="K292" t="s">
        <v>432</v>
      </c>
      <c r="L292" t="s">
        <v>435</v>
      </c>
      <c r="M292" t="s">
        <v>439</v>
      </c>
      <c r="N292" t="s">
        <v>445</v>
      </c>
      <c r="O292">
        <v>6</v>
      </c>
      <c r="P292">
        <v>46.29</v>
      </c>
    </row>
    <row r="293" spans="1:16">
      <c r="A293" t="s">
        <v>304</v>
      </c>
      <c r="B293">
        <v>58</v>
      </c>
      <c r="C293" t="s">
        <v>413</v>
      </c>
      <c r="D293" t="s">
        <v>418</v>
      </c>
      <c r="E293" t="s">
        <v>426</v>
      </c>
      <c r="F293" t="s">
        <v>429</v>
      </c>
      <c r="G293">
        <v>198.22800000000001</v>
      </c>
      <c r="H293">
        <v>48.103000000000002</v>
      </c>
      <c r="I293">
        <v>97</v>
      </c>
      <c r="J293">
        <v>1114.46</v>
      </c>
      <c r="K293" t="s">
        <v>433</v>
      </c>
      <c r="L293" t="s">
        <v>435</v>
      </c>
      <c r="M293" t="s">
        <v>442</v>
      </c>
      <c r="N293" t="s">
        <v>443</v>
      </c>
      <c r="O293">
        <v>8</v>
      </c>
      <c r="P293">
        <v>43.2</v>
      </c>
    </row>
    <row r="294" spans="1:16">
      <c r="A294" t="s">
        <v>305</v>
      </c>
      <c r="B294">
        <v>50</v>
      </c>
      <c r="C294" t="s">
        <v>414</v>
      </c>
      <c r="D294" t="s">
        <v>420</v>
      </c>
      <c r="E294" t="s">
        <v>426</v>
      </c>
      <c r="F294" t="s">
        <v>428</v>
      </c>
      <c r="G294">
        <v>226.78</v>
      </c>
      <c r="H294">
        <v>33.335999999999999</v>
      </c>
      <c r="I294">
        <v>52</v>
      </c>
      <c r="J294">
        <v>326.82</v>
      </c>
      <c r="K294" t="s">
        <v>432</v>
      </c>
      <c r="L294" t="s">
        <v>435</v>
      </c>
      <c r="M294" t="s">
        <v>440</v>
      </c>
      <c r="N294" t="s">
        <v>443</v>
      </c>
      <c r="O294">
        <v>8</v>
      </c>
      <c r="P294">
        <v>28</v>
      </c>
    </row>
    <row r="295" spans="1:16">
      <c r="A295" t="s">
        <v>306</v>
      </c>
      <c r="B295">
        <v>36</v>
      </c>
      <c r="C295" t="s">
        <v>413</v>
      </c>
      <c r="D295" t="s">
        <v>422</v>
      </c>
      <c r="E295" t="s">
        <v>426</v>
      </c>
      <c r="F295" t="s">
        <v>429</v>
      </c>
      <c r="G295">
        <v>54.305999999999997</v>
      </c>
      <c r="H295">
        <v>80.941000000000003</v>
      </c>
      <c r="I295">
        <v>106</v>
      </c>
      <c r="J295">
        <v>763.59</v>
      </c>
      <c r="K295" t="s">
        <v>433</v>
      </c>
      <c r="L295" t="s">
        <v>434</v>
      </c>
      <c r="M295" t="s">
        <v>442</v>
      </c>
      <c r="N295" t="s">
        <v>445</v>
      </c>
      <c r="O295">
        <v>2</v>
      </c>
      <c r="P295">
        <v>29.14</v>
      </c>
    </row>
    <row r="296" spans="1:16">
      <c r="A296" t="s">
        <v>307</v>
      </c>
      <c r="B296">
        <v>65</v>
      </c>
      <c r="C296" t="s">
        <v>413</v>
      </c>
      <c r="D296" t="s">
        <v>418</v>
      </c>
      <c r="E296" t="s">
        <v>425</v>
      </c>
      <c r="F296" t="s">
        <v>429</v>
      </c>
      <c r="G296">
        <v>133.43199999999999</v>
      </c>
      <c r="H296">
        <v>38.837000000000003</v>
      </c>
      <c r="I296">
        <v>12</v>
      </c>
      <c r="J296">
        <v>3236.42</v>
      </c>
      <c r="K296" t="s">
        <v>433</v>
      </c>
      <c r="L296" t="s">
        <v>436</v>
      </c>
      <c r="M296" t="s">
        <v>440</v>
      </c>
      <c r="N296" t="s">
        <v>444</v>
      </c>
      <c r="O296">
        <v>9</v>
      </c>
      <c r="P296">
        <v>34.770000000000003</v>
      </c>
    </row>
    <row r="297" spans="1:16">
      <c r="A297" t="s">
        <v>308</v>
      </c>
      <c r="B297">
        <v>27</v>
      </c>
      <c r="C297" t="s">
        <v>413</v>
      </c>
      <c r="D297" t="s">
        <v>416</v>
      </c>
      <c r="E297" t="s">
        <v>427</v>
      </c>
      <c r="F297" t="s">
        <v>428</v>
      </c>
      <c r="G297">
        <v>70.066000000000003</v>
      </c>
      <c r="H297">
        <v>80.108999999999995</v>
      </c>
      <c r="I297">
        <v>115</v>
      </c>
      <c r="J297">
        <v>696.6</v>
      </c>
      <c r="K297" t="s">
        <v>433</v>
      </c>
      <c r="L297" t="s">
        <v>434</v>
      </c>
      <c r="M297" t="s">
        <v>439</v>
      </c>
      <c r="N297" t="s">
        <v>445</v>
      </c>
      <c r="O297">
        <v>1</v>
      </c>
      <c r="P297">
        <v>8.7899999999999991</v>
      </c>
    </row>
    <row r="298" spans="1:16">
      <c r="A298" t="s">
        <v>309</v>
      </c>
      <c r="B298">
        <v>44</v>
      </c>
      <c r="C298" t="s">
        <v>414</v>
      </c>
      <c r="D298" t="s">
        <v>416</v>
      </c>
      <c r="E298" t="s">
        <v>426</v>
      </c>
      <c r="F298" t="s">
        <v>428</v>
      </c>
      <c r="G298">
        <v>125.152</v>
      </c>
      <c r="H298">
        <v>84.346000000000004</v>
      </c>
      <c r="I298">
        <v>47</v>
      </c>
      <c r="J298">
        <v>1794.6</v>
      </c>
      <c r="K298" t="s">
        <v>432</v>
      </c>
      <c r="L298" t="s">
        <v>435</v>
      </c>
      <c r="M298" t="s">
        <v>441</v>
      </c>
      <c r="N298" t="s">
        <v>443</v>
      </c>
      <c r="O298">
        <v>2</v>
      </c>
      <c r="P298">
        <v>33.79</v>
      </c>
    </row>
    <row r="299" spans="1:16">
      <c r="A299" t="s">
        <v>310</v>
      </c>
      <c r="B299">
        <v>32</v>
      </c>
      <c r="C299" t="s">
        <v>413</v>
      </c>
      <c r="D299" t="s">
        <v>422</v>
      </c>
      <c r="E299" t="s">
        <v>425</v>
      </c>
      <c r="F299" t="s">
        <v>429</v>
      </c>
      <c r="G299">
        <v>178.15199999999999</v>
      </c>
      <c r="H299">
        <v>38.698</v>
      </c>
      <c r="I299">
        <v>66</v>
      </c>
      <c r="J299">
        <v>586.33000000000004</v>
      </c>
      <c r="K299" t="s">
        <v>432</v>
      </c>
      <c r="L299" t="s">
        <v>436</v>
      </c>
      <c r="M299" t="s">
        <v>441</v>
      </c>
      <c r="N299" t="s">
        <v>444</v>
      </c>
      <c r="O299">
        <v>5</v>
      </c>
      <c r="P299">
        <v>20.71</v>
      </c>
    </row>
    <row r="300" spans="1:16">
      <c r="A300" t="s">
        <v>311</v>
      </c>
      <c r="B300">
        <v>60</v>
      </c>
      <c r="C300" t="s">
        <v>413</v>
      </c>
      <c r="D300" t="s">
        <v>419</v>
      </c>
      <c r="E300" t="s">
        <v>426</v>
      </c>
      <c r="F300" t="s">
        <v>429</v>
      </c>
      <c r="G300">
        <v>243.892</v>
      </c>
      <c r="H300">
        <v>53.28</v>
      </c>
      <c r="I300">
        <v>6</v>
      </c>
      <c r="J300">
        <v>8880</v>
      </c>
      <c r="K300" t="s">
        <v>432</v>
      </c>
      <c r="L300" t="s">
        <v>436</v>
      </c>
      <c r="M300" t="s">
        <v>441</v>
      </c>
      <c r="N300" t="s">
        <v>443</v>
      </c>
      <c r="O300">
        <v>8</v>
      </c>
      <c r="P300">
        <v>25.96</v>
      </c>
    </row>
    <row r="301" spans="1:16">
      <c r="A301" t="s">
        <v>312</v>
      </c>
      <c r="B301">
        <v>74</v>
      </c>
      <c r="C301" t="s">
        <v>414</v>
      </c>
      <c r="D301" t="s">
        <v>420</v>
      </c>
      <c r="E301" t="s">
        <v>426</v>
      </c>
      <c r="F301" t="s">
        <v>429</v>
      </c>
      <c r="G301">
        <v>215.69499999999999</v>
      </c>
      <c r="H301">
        <v>66.981999999999999</v>
      </c>
      <c r="I301">
        <v>76</v>
      </c>
      <c r="J301">
        <v>531.6</v>
      </c>
      <c r="K301" t="s">
        <v>433</v>
      </c>
      <c r="L301" t="s">
        <v>435</v>
      </c>
      <c r="M301" t="s">
        <v>440</v>
      </c>
      <c r="N301" t="s">
        <v>445</v>
      </c>
      <c r="O301">
        <v>3</v>
      </c>
      <c r="P301">
        <v>5.42</v>
      </c>
    </row>
    <row r="302" spans="1:16">
      <c r="A302" t="s">
        <v>313</v>
      </c>
      <c r="B302">
        <v>26</v>
      </c>
      <c r="C302" t="s">
        <v>414</v>
      </c>
      <c r="D302" t="s">
        <v>417</v>
      </c>
      <c r="E302" t="s">
        <v>425</v>
      </c>
      <c r="F302" t="s">
        <v>430</v>
      </c>
      <c r="G302">
        <v>191.32499999999999</v>
      </c>
      <c r="H302">
        <v>21.126999999999999</v>
      </c>
      <c r="I302">
        <v>46</v>
      </c>
      <c r="J302">
        <v>1546.24</v>
      </c>
      <c r="K302" t="s">
        <v>432</v>
      </c>
      <c r="L302" t="s">
        <v>434</v>
      </c>
      <c r="M302" t="s">
        <v>441</v>
      </c>
      <c r="N302" t="s">
        <v>443</v>
      </c>
      <c r="O302">
        <v>9</v>
      </c>
      <c r="P302">
        <v>32.5</v>
      </c>
    </row>
    <row r="303" spans="1:16">
      <c r="A303" t="s">
        <v>314</v>
      </c>
      <c r="B303">
        <v>67</v>
      </c>
      <c r="C303" t="s">
        <v>414</v>
      </c>
      <c r="D303" t="s">
        <v>420</v>
      </c>
      <c r="E303" t="s">
        <v>424</v>
      </c>
      <c r="F303" t="s">
        <v>431</v>
      </c>
      <c r="G303">
        <v>115.717</v>
      </c>
      <c r="H303">
        <v>21.079000000000001</v>
      </c>
      <c r="I303">
        <v>52</v>
      </c>
      <c r="J303">
        <v>405.37</v>
      </c>
      <c r="K303" t="s">
        <v>433</v>
      </c>
      <c r="L303" t="s">
        <v>434</v>
      </c>
      <c r="M303" t="s">
        <v>442</v>
      </c>
      <c r="N303" t="s">
        <v>444</v>
      </c>
      <c r="O303">
        <v>9</v>
      </c>
      <c r="P303">
        <v>2.25</v>
      </c>
    </row>
    <row r="304" spans="1:16">
      <c r="A304" t="s">
        <v>315</v>
      </c>
      <c r="B304">
        <v>43</v>
      </c>
      <c r="C304" t="s">
        <v>414</v>
      </c>
      <c r="D304" t="s">
        <v>420</v>
      </c>
      <c r="E304" t="s">
        <v>425</v>
      </c>
      <c r="F304" t="s">
        <v>429</v>
      </c>
      <c r="G304">
        <v>71.369</v>
      </c>
      <c r="H304">
        <v>14.46</v>
      </c>
      <c r="I304">
        <v>13</v>
      </c>
      <c r="J304">
        <v>127.96</v>
      </c>
      <c r="K304" t="s">
        <v>433</v>
      </c>
      <c r="L304" t="s">
        <v>435</v>
      </c>
      <c r="M304" t="s">
        <v>441</v>
      </c>
      <c r="N304" t="s">
        <v>444</v>
      </c>
      <c r="O304">
        <v>3</v>
      </c>
      <c r="P304">
        <v>41.88</v>
      </c>
    </row>
    <row r="305" spans="1:16">
      <c r="A305" t="s">
        <v>316</v>
      </c>
      <c r="B305">
        <v>33</v>
      </c>
      <c r="C305" t="s">
        <v>413</v>
      </c>
      <c r="D305" t="s">
        <v>420</v>
      </c>
      <c r="E305" t="s">
        <v>424</v>
      </c>
      <c r="F305" t="s">
        <v>429</v>
      </c>
      <c r="G305">
        <v>92.677999999999997</v>
      </c>
      <c r="H305">
        <v>39.276000000000003</v>
      </c>
      <c r="I305">
        <v>58</v>
      </c>
      <c r="J305">
        <v>677.17</v>
      </c>
      <c r="K305" t="s">
        <v>433</v>
      </c>
      <c r="L305" t="s">
        <v>434</v>
      </c>
      <c r="M305" t="s">
        <v>442</v>
      </c>
      <c r="N305" t="s">
        <v>443</v>
      </c>
      <c r="O305">
        <v>1</v>
      </c>
      <c r="P305">
        <v>40.64</v>
      </c>
    </row>
    <row r="306" spans="1:16">
      <c r="A306" t="s">
        <v>317</v>
      </c>
      <c r="B306">
        <v>22</v>
      </c>
      <c r="C306" t="s">
        <v>413</v>
      </c>
      <c r="D306" t="s">
        <v>417</v>
      </c>
      <c r="E306" t="s">
        <v>424</v>
      </c>
      <c r="F306" t="s">
        <v>429</v>
      </c>
      <c r="G306">
        <v>48.31</v>
      </c>
      <c r="H306">
        <v>89.844999999999999</v>
      </c>
      <c r="I306">
        <v>14</v>
      </c>
      <c r="J306">
        <v>6417.5</v>
      </c>
      <c r="K306" t="s">
        <v>432</v>
      </c>
      <c r="L306" t="s">
        <v>435</v>
      </c>
      <c r="M306" t="s">
        <v>442</v>
      </c>
      <c r="N306" t="s">
        <v>444</v>
      </c>
      <c r="O306">
        <v>2</v>
      </c>
      <c r="P306">
        <v>21.04</v>
      </c>
    </row>
    <row r="307" spans="1:16">
      <c r="A307" t="s">
        <v>318</v>
      </c>
      <c r="B307">
        <v>18</v>
      </c>
      <c r="C307" t="s">
        <v>413</v>
      </c>
      <c r="D307" t="s">
        <v>421</v>
      </c>
      <c r="E307" t="s">
        <v>427</v>
      </c>
      <c r="F307" t="s">
        <v>429</v>
      </c>
      <c r="G307">
        <v>137.69800000000001</v>
      </c>
      <c r="H307">
        <v>75.736000000000004</v>
      </c>
      <c r="I307">
        <v>8</v>
      </c>
      <c r="J307">
        <v>9467</v>
      </c>
      <c r="K307" t="s">
        <v>432</v>
      </c>
      <c r="L307" t="s">
        <v>434</v>
      </c>
      <c r="M307" t="s">
        <v>438</v>
      </c>
      <c r="N307" t="s">
        <v>444</v>
      </c>
      <c r="O307">
        <v>8</v>
      </c>
      <c r="P307">
        <v>17.829999999999998</v>
      </c>
    </row>
    <row r="308" spans="1:16">
      <c r="A308" t="s">
        <v>319</v>
      </c>
      <c r="B308">
        <v>42</v>
      </c>
      <c r="C308" t="s">
        <v>414</v>
      </c>
      <c r="D308" t="s">
        <v>422</v>
      </c>
      <c r="E308" t="s">
        <v>424</v>
      </c>
      <c r="F308" t="s">
        <v>431</v>
      </c>
      <c r="G308">
        <v>146.02799999999999</v>
      </c>
      <c r="H308">
        <v>38.142000000000003</v>
      </c>
      <c r="I308">
        <v>76</v>
      </c>
      <c r="J308">
        <v>501.87</v>
      </c>
      <c r="K308" t="s">
        <v>432</v>
      </c>
      <c r="L308" t="s">
        <v>436</v>
      </c>
      <c r="M308" t="s">
        <v>440</v>
      </c>
      <c r="N308" t="s">
        <v>445</v>
      </c>
      <c r="O308">
        <v>2</v>
      </c>
      <c r="P308">
        <v>13.59</v>
      </c>
    </row>
    <row r="309" spans="1:16">
      <c r="A309" t="s">
        <v>320</v>
      </c>
      <c r="B309">
        <v>46</v>
      </c>
      <c r="C309" t="s">
        <v>414</v>
      </c>
      <c r="D309" t="s">
        <v>423</v>
      </c>
      <c r="E309" t="s">
        <v>424</v>
      </c>
      <c r="F309" t="s">
        <v>428</v>
      </c>
      <c r="G309">
        <v>171.721</v>
      </c>
      <c r="H309">
        <v>7.3719999999999999</v>
      </c>
      <c r="I309">
        <v>18</v>
      </c>
      <c r="J309">
        <v>68.260000000000005</v>
      </c>
      <c r="K309" t="s">
        <v>432</v>
      </c>
      <c r="L309" t="s">
        <v>436</v>
      </c>
      <c r="M309" t="s">
        <v>441</v>
      </c>
      <c r="N309" t="s">
        <v>444</v>
      </c>
      <c r="O309">
        <v>4</v>
      </c>
      <c r="P309">
        <v>48.34</v>
      </c>
    </row>
    <row r="310" spans="1:16">
      <c r="A310" t="s">
        <v>321</v>
      </c>
      <c r="B310">
        <v>40</v>
      </c>
      <c r="C310" t="s">
        <v>413</v>
      </c>
      <c r="D310" t="s">
        <v>422</v>
      </c>
      <c r="E310" t="s">
        <v>425</v>
      </c>
      <c r="F310" t="s">
        <v>429</v>
      </c>
      <c r="G310">
        <v>144.48099999999999</v>
      </c>
      <c r="H310">
        <v>54.445999999999998</v>
      </c>
      <c r="I310">
        <v>45</v>
      </c>
      <c r="J310">
        <v>1209.9100000000001</v>
      </c>
      <c r="K310" t="s">
        <v>433</v>
      </c>
      <c r="L310" t="s">
        <v>434</v>
      </c>
      <c r="M310" t="s">
        <v>442</v>
      </c>
      <c r="N310" t="s">
        <v>443</v>
      </c>
      <c r="O310">
        <v>4</v>
      </c>
      <c r="P310">
        <v>38.43</v>
      </c>
    </row>
    <row r="311" spans="1:16">
      <c r="A311" t="s">
        <v>322</v>
      </c>
      <c r="B311">
        <v>68</v>
      </c>
      <c r="C311" t="s">
        <v>415</v>
      </c>
      <c r="D311" t="s">
        <v>416</v>
      </c>
      <c r="E311" t="s">
        <v>425</v>
      </c>
      <c r="F311" t="s">
        <v>431</v>
      </c>
      <c r="G311">
        <v>106.867</v>
      </c>
      <c r="H311">
        <v>73.381</v>
      </c>
      <c r="I311">
        <v>31</v>
      </c>
      <c r="J311">
        <v>2367.13</v>
      </c>
      <c r="K311" t="s">
        <v>432</v>
      </c>
      <c r="L311" t="s">
        <v>436</v>
      </c>
      <c r="M311" t="s">
        <v>439</v>
      </c>
      <c r="N311" t="s">
        <v>443</v>
      </c>
      <c r="O311">
        <v>1</v>
      </c>
      <c r="P311">
        <v>7.31</v>
      </c>
    </row>
    <row r="312" spans="1:16">
      <c r="A312" t="s">
        <v>323</v>
      </c>
      <c r="B312">
        <v>73</v>
      </c>
      <c r="C312" t="s">
        <v>413</v>
      </c>
      <c r="D312" t="s">
        <v>419</v>
      </c>
      <c r="E312" t="s">
        <v>426</v>
      </c>
      <c r="F312" t="s">
        <v>431</v>
      </c>
      <c r="G312">
        <v>135.012</v>
      </c>
      <c r="H312">
        <v>88.269000000000005</v>
      </c>
      <c r="I312">
        <v>118</v>
      </c>
      <c r="J312">
        <v>596.41</v>
      </c>
      <c r="K312" t="s">
        <v>432</v>
      </c>
      <c r="L312" t="s">
        <v>435</v>
      </c>
      <c r="M312" t="s">
        <v>441</v>
      </c>
      <c r="N312" t="s">
        <v>444</v>
      </c>
      <c r="O312">
        <v>7</v>
      </c>
      <c r="P312">
        <v>45.92</v>
      </c>
    </row>
    <row r="313" spans="1:16">
      <c r="A313" t="s">
        <v>324</v>
      </c>
      <c r="B313">
        <v>33</v>
      </c>
      <c r="C313" t="s">
        <v>414</v>
      </c>
      <c r="D313" t="s">
        <v>422</v>
      </c>
      <c r="E313" t="s">
        <v>426</v>
      </c>
      <c r="F313" t="s">
        <v>431</v>
      </c>
      <c r="G313">
        <v>30.606999999999999</v>
      </c>
      <c r="H313">
        <v>52.216000000000001</v>
      </c>
      <c r="I313">
        <v>63</v>
      </c>
      <c r="J313">
        <v>506.95</v>
      </c>
      <c r="K313" t="s">
        <v>432</v>
      </c>
      <c r="L313" t="s">
        <v>435</v>
      </c>
      <c r="M313" t="s">
        <v>439</v>
      </c>
      <c r="N313" t="s">
        <v>443</v>
      </c>
      <c r="O313">
        <v>5</v>
      </c>
      <c r="P313">
        <v>31.27</v>
      </c>
    </row>
    <row r="314" spans="1:16">
      <c r="A314" t="s">
        <v>325</v>
      </c>
      <c r="B314">
        <v>67</v>
      </c>
      <c r="C314" t="s">
        <v>413</v>
      </c>
      <c r="D314" t="s">
        <v>420</v>
      </c>
      <c r="E314" t="s">
        <v>424</v>
      </c>
      <c r="F314" t="s">
        <v>429</v>
      </c>
      <c r="G314">
        <v>72.305000000000007</v>
      </c>
      <c r="H314">
        <v>65.174000000000007</v>
      </c>
      <c r="I314">
        <v>35</v>
      </c>
      <c r="J314">
        <v>1862.11</v>
      </c>
      <c r="K314" t="s">
        <v>432</v>
      </c>
      <c r="L314" t="s">
        <v>435</v>
      </c>
      <c r="M314" t="s">
        <v>438</v>
      </c>
      <c r="N314" t="s">
        <v>444</v>
      </c>
      <c r="O314">
        <v>4</v>
      </c>
      <c r="P314">
        <v>6.41</v>
      </c>
    </row>
    <row r="315" spans="1:16">
      <c r="A315" t="s">
        <v>326</v>
      </c>
      <c r="B315">
        <v>33</v>
      </c>
      <c r="C315" t="s">
        <v>413</v>
      </c>
      <c r="D315" t="s">
        <v>419</v>
      </c>
      <c r="E315" t="s">
        <v>425</v>
      </c>
      <c r="F315" t="s">
        <v>429</v>
      </c>
      <c r="G315">
        <v>192.74299999999999</v>
      </c>
      <c r="H315">
        <v>12.454000000000001</v>
      </c>
      <c r="I315">
        <v>30</v>
      </c>
      <c r="J315">
        <v>95.8</v>
      </c>
      <c r="K315" t="s">
        <v>433</v>
      </c>
      <c r="L315" t="s">
        <v>435</v>
      </c>
      <c r="M315" t="s">
        <v>440</v>
      </c>
      <c r="N315" t="s">
        <v>444</v>
      </c>
      <c r="O315">
        <v>2</v>
      </c>
      <c r="P315">
        <v>27.38</v>
      </c>
    </row>
    <row r="316" spans="1:16">
      <c r="A316" t="s">
        <v>327</v>
      </c>
      <c r="B316">
        <v>64</v>
      </c>
      <c r="C316" t="s">
        <v>414</v>
      </c>
      <c r="D316" t="s">
        <v>421</v>
      </c>
      <c r="E316" t="s">
        <v>424</v>
      </c>
      <c r="F316" t="s">
        <v>429</v>
      </c>
      <c r="G316">
        <v>98.983999999999995</v>
      </c>
      <c r="H316">
        <v>30.308</v>
      </c>
      <c r="I316">
        <v>66</v>
      </c>
      <c r="J316">
        <v>459.21</v>
      </c>
      <c r="K316" t="s">
        <v>433</v>
      </c>
      <c r="L316" t="s">
        <v>434</v>
      </c>
      <c r="M316" t="s">
        <v>438</v>
      </c>
      <c r="N316" t="s">
        <v>445</v>
      </c>
      <c r="O316">
        <v>5</v>
      </c>
      <c r="P316">
        <v>6.69</v>
      </c>
    </row>
    <row r="317" spans="1:16">
      <c r="A317" t="s">
        <v>328</v>
      </c>
      <c r="B317">
        <v>21</v>
      </c>
      <c r="C317" t="s">
        <v>415</v>
      </c>
      <c r="D317" t="s">
        <v>418</v>
      </c>
      <c r="E317" t="s">
        <v>425</v>
      </c>
      <c r="F317" t="s">
        <v>429</v>
      </c>
      <c r="G317">
        <v>36.567</v>
      </c>
      <c r="H317">
        <v>21.396000000000001</v>
      </c>
      <c r="I317">
        <v>93</v>
      </c>
      <c r="J317">
        <v>230.06</v>
      </c>
      <c r="K317" t="s">
        <v>432</v>
      </c>
      <c r="L317" t="s">
        <v>435</v>
      </c>
      <c r="M317" t="s">
        <v>442</v>
      </c>
      <c r="N317" t="s">
        <v>444</v>
      </c>
      <c r="O317">
        <v>4</v>
      </c>
      <c r="P317">
        <v>5.83</v>
      </c>
    </row>
    <row r="318" spans="1:16">
      <c r="A318" t="s">
        <v>329</v>
      </c>
      <c r="B318">
        <v>59</v>
      </c>
      <c r="C318" t="s">
        <v>414</v>
      </c>
      <c r="D318" t="s">
        <v>422</v>
      </c>
      <c r="E318" t="s">
        <v>424</v>
      </c>
      <c r="F318" t="s">
        <v>431</v>
      </c>
      <c r="G318">
        <v>149.339</v>
      </c>
      <c r="H318">
        <v>28.696999999999999</v>
      </c>
      <c r="I318">
        <v>80</v>
      </c>
      <c r="J318">
        <v>358.71</v>
      </c>
      <c r="K318" t="s">
        <v>432</v>
      </c>
      <c r="L318" t="s">
        <v>435</v>
      </c>
      <c r="M318" t="s">
        <v>442</v>
      </c>
      <c r="N318" t="s">
        <v>444</v>
      </c>
      <c r="O318">
        <v>4</v>
      </c>
      <c r="P318">
        <v>25.12</v>
      </c>
    </row>
    <row r="319" spans="1:16">
      <c r="A319" t="s">
        <v>330</v>
      </c>
      <c r="B319">
        <v>21</v>
      </c>
      <c r="C319" t="s">
        <v>413</v>
      </c>
      <c r="D319" t="s">
        <v>421</v>
      </c>
      <c r="E319" t="s">
        <v>425</v>
      </c>
      <c r="F319" t="s">
        <v>429</v>
      </c>
      <c r="G319">
        <v>98.968000000000004</v>
      </c>
      <c r="H319">
        <v>108.714</v>
      </c>
      <c r="I319">
        <v>87</v>
      </c>
      <c r="J319">
        <v>2313.06</v>
      </c>
      <c r="K319" t="s">
        <v>432</v>
      </c>
      <c r="L319" t="s">
        <v>436</v>
      </c>
      <c r="M319" t="s">
        <v>442</v>
      </c>
      <c r="N319" t="s">
        <v>443</v>
      </c>
      <c r="O319">
        <v>6</v>
      </c>
      <c r="P319">
        <v>47.37</v>
      </c>
    </row>
    <row r="320" spans="1:16">
      <c r="A320" t="s">
        <v>331</v>
      </c>
      <c r="B320">
        <v>74</v>
      </c>
      <c r="C320" t="s">
        <v>414</v>
      </c>
      <c r="D320" t="s">
        <v>422</v>
      </c>
      <c r="E320" t="s">
        <v>425</v>
      </c>
      <c r="F320" t="s">
        <v>428</v>
      </c>
      <c r="G320">
        <v>217.44399999999999</v>
      </c>
      <c r="H320">
        <v>41.234999999999999</v>
      </c>
      <c r="I320">
        <v>38</v>
      </c>
      <c r="J320">
        <v>298.8</v>
      </c>
      <c r="K320" t="s">
        <v>432</v>
      </c>
      <c r="L320" t="s">
        <v>436</v>
      </c>
      <c r="M320" t="s">
        <v>440</v>
      </c>
      <c r="N320" t="s">
        <v>443</v>
      </c>
      <c r="O320">
        <v>7</v>
      </c>
      <c r="P320">
        <v>12.69</v>
      </c>
    </row>
    <row r="321" spans="1:16">
      <c r="A321" t="s">
        <v>332</v>
      </c>
      <c r="B321">
        <v>45</v>
      </c>
      <c r="C321" t="s">
        <v>413</v>
      </c>
      <c r="D321" t="s">
        <v>421</v>
      </c>
      <c r="E321" t="s">
        <v>424</v>
      </c>
      <c r="F321" t="s">
        <v>428</v>
      </c>
      <c r="G321">
        <v>180.666</v>
      </c>
      <c r="H321">
        <v>54.036999999999999</v>
      </c>
      <c r="I321">
        <v>28</v>
      </c>
      <c r="J321">
        <v>4072.75</v>
      </c>
      <c r="K321" t="s">
        <v>432</v>
      </c>
      <c r="L321" t="s">
        <v>434</v>
      </c>
      <c r="M321" t="s">
        <v>441</v>
      </c>
      <c r="N321" t="s">
        <v>444</v>
      </c>
      <c r="O321">
        <v>5</v>
      </c>
      <c r="P321">
        <v>23.22</v>
      </c>
    </row>
    <row r="322" spans="1:16">
      <c r="A322" t="s">
        <v>333</v>
      </c>
      <c r="B322">
        <v>33</v>
      </c>
      <c r="C322" t="s">
        <v>414</v>
      </c>
      <c r="D322" t="s">
        <v>421</v>
      </c>
      <c r="E322" t="s">
        <v>425</v>
      </c>
      <c r="F322" t="s">
        <v>428</v>
      </c>
      <c r="G322">
        <v>234.82</v>
      </c>
      <c r="H322">
        <v>24.859000000000002</v>
      </c>
      <c r="I322">
        <v>13</v>
      </c>
      <c r="J322">
        <v>920.96</v>
      </c>
      <c r="K322" t="s">
        <v>432</v>
      </c>
      <c r="L322" t="s">
        <v>435</v>
      </c>
      <c r="M322" t="s">
        <v>438</v>
      </c>
      <c r="N322" t="s">
        <v>443</v>
      </c>
      <c r="O322">
        <v>4</v>
      </c>
      <c r="P322">
        <v>32.46</v>
      </c>
    </row>
    <row r="323" spans="1:16">
      <c r="A323" t="s">
        <v>334</v>
      </c>
      <c r="B323">
        <v>31</v>
      </c>
      <c r="C323" t="s">
        <v>414</v>
      </c>
      <c r="D323" t="s">
        <v>417</v>
      </c>
      <c r="E323" t="s">
        <v>425</v>
      </c>
      <c r="F323" t="s">
        <v>431</v>
      </c>
      <c r="G323">
        <v>225.416</v>
      </c>
      <c r="H323">
        <v>34.957000000000001</v>
      </c>
      <c r="I323">
        <v>48</v>
      </c>
      <c r="J323">
        <v>236.2</v>
      </c>
      <c r="K323" t="s">
        <v>432</v>
      </c>
      <c r="L323" t="s">
        <v>434</v>
      </c>
      <c r="M323" t="s">
        <v>440</v>
      </c>
      <c r="N323" t="s">
        <v>445</v>
      </c>
      <c r="O323">
        <v>3</v>
      </c>
      <c r="P323">
        <v>10.53</v>
      </c>
    </row>
    <row r="324" spans="1:16">
      <c r="A324" t="s">
        <v>335</v>
      </c>
      <c r="B324">
        <v>33</v>
      </c>
      <c r="C324" t="s">
        <v>413</v>
      </c>
      <c r="D324" t="s">
        <v>423</v>
      </c>
      <c r="E324" t="s">
        <v>424</v>
      </c>
      <c r="F324" t="s">
        <v>428</v>
      </c>
      <c r="G324">
        <v>180.89699999999999</v>
      </c>
      <c r="H324">
        <v>70.081000000000003</v>
      </c>
      <c r="I324">
        <v>95</v>
      </c>
      <c r="J324">
        <v>483.32</v>
      </c>
      <c r="K324" t="s">
        <v>432</v>
      </c>
      <c r="L324" t="s">
        <v>435</v>
      </c>
      <c r="M324" t="s">
        <v>441</v>
      </c>
      <c r="N324" t="s">
        <v>444</v>
      </c>
      <c r="O324">
        <v>10</v>
      </c>
      <c r="P324">
        <v>13.09</v>
      </c>
    </row>
    <row r="325" spans="1:16">
      <c r="A325" t="s">
        <v>336</v>
      </c>
      <c r="B325">
        <v>24</v>
      </c>
      <c r="C325" t="s">
        <v>413</v>
      </c>
      <c r="D325" t="s">
        <v>420</v>
      </c>
      <c r="E325" t="s">
        <v>424</v>
      </c>
      <c r="F325" t="s">
        <v>429</v>
      </c>
      <c r="G325">
        <v>48.506</v>
      </c>
      <c r="H325">
        <v>56.091000000000001</v>
      </c>
      <c r="I325">
        <v>11</v>
      </c>
      <c r="J325">
        <v>10553.73</v>
      </c>
      <c r="K325" t="s">
        <v>433</v>
      </c>
      <c r="L325" t="s">
        <v>435</v>
      </c>
      <c r="M325" t="s">
        <v>442</v>
      </c>
      <c r="N325" t="s">
        <v>443</v>
      </c>
      <c r="O325">
        <v>9</v>
      </c>
      <c r="P325">
        <v>15.89</v>
      </c>
    </row>
    <row r="326" spans="1:16">
      <c r="A326" t="s">
        <v>337</v>
      </c>
      <c r="B326">
        <v>52</v>
      </c>
      <c r="C326" t="s">
        <v>414</v>
      </c>
      <c r="D326" t="s">
        <v>419</v>
      </c>
      <c r="E326" t="s">
        <v>425</v>
      </c>
      <c r="F326" t="s">
        <v>431</v>
      </c>
      <c r="G326">
        <v>199.65299999999999</v>
      </c>
      <c r="H326">
        <v>64.025000000000006</v>
      </c>
      <c r="I326">
        <v>83</v>
      </c>
      <c r="J326">
        <v>1253.31</v>
      </c>
      <c r="K326" t="s">
        <v>432</v>
      </c>
      <c r="L326" t="s">
        <v>435</v>
      </c>
      <c r="M326" t="s">
        <v>442</v>
      </c>
      <c r="N326" t="s">
        <v>444</v>
      </c>
      <c r="O326">
        <v>5</v>
      </c>
      <c r="P326">
        <v>19.899999999999999</v>
      </c>
    </row>
    <row r="327" spans="1:16">
      <c r="A327" t="s">
        <v>338</v>
      </c>
      <c r="B327">
        <v>54</v>
      </c>
      <c r="C327" t="s">
        <v>413</v>
      </c>
      <c r="D327" t="s">
        <v>417</v>
      </c>
      <c r="E327" t="s">
        <v>424</v>
      </c>
      <c r="F327" t="s">
        <v>429</v>
      </c>
      <c r="G327">
        <v>237.923</v>
      </c>
      <c r="H327">
        <v>22.879000000000001</v>
      </c>
      <c r="I327">
        <v>37</v>
      </c>
      <c r="J327">
        <v>823.93</v>
      </c>
      <c r="K327" t="s">
        <v>433</v>
      </c>
      <c r="L327" t="s">
        <v>434</v>
      </c>
      <c r="M327" t="s">
        <v>441</v>
      </c>
      <c r="N327" t="s">
        <v>445</v>
      </c>
      <c r="O327">
        <v>6</v>
      </c>
      <c r="P327">
        <v>34.83</v>
      </c>
    </row>
    <row r="328" spans="1:16">
      <c r="A328" t="s">
        <v>339</v>
      </c>
      <c r="B328">
        <v>50</v>
      </c>
      <c r="C328" t="s">
        <v>413</v>
      </c>
      <c r="D328" t="s">
        <v>416</v>
      </c>
      <c r="E328" t="s">
        <v>425</v>
      </c>
      <c r="F328" t="s">
        <v>431</v>
      </c>
      <c r="G328">
        <v>107.65300000000001</v>
      </c>
      <c r="H328">
        <v>7.2770000000000001</v>
      </c>
      <c r="I328">
        <v>11</v>
      </c>
      <c r="J328">
        <v>55.55</v>
      </c>
      <c r="K328" t="s">
        <v>433</v>
      </c>
      <c r="L328" t="s">
        <v>436</v>
      </c>
      <c r="M328" t="s">
        <v>439</v>
      </c>
      <c r="N328" t="s">
        <v>445</v>
      </c>
      <c r="O328">
        <v>10</v>
      </c>
      <c r="P328">
        <v>3.64</v>
      </c>
    </row>
    <row r="329" spans="1:16">
      <c r="A329" t="s">
        <v>340</v>
      </c>
      <c r="B329">
        <v>68</v>
      </c>
      <c r="C329" t="s">
        <v>413</v>
      </c>
      <c r="D329" t="s">
        <v>422</v>
      </c>
      <c r="E329" t="s">
        <v>426</v>
      </c>
      <c r="F329" t="s">
        <v>431</v>
      </c>
      <c r="G329">
        <v>88.623000000000005</v>
      </c>
      <c r="H329">
        <v>56.250999999999998</v>
      </c>
      <c r="I329">
        <v>27</v>
      </c>
      <c r="J329">
        <v>442.92</v>
      </c>
      <c r="K329" t="s">
        <v>433</v>
      </c>
      <c r="L329" t="s">
        <v>436</v>
      </c>
      <c r="M329" t="s">
        <v>439</v>
      </c>
      <c r="N329" t="s">
        <v>444</v>
      </c>
      <c r="O329">
        <v>2</v>
      </c>
      <c r="P329">
        <v>40.75</v>
      </c>
    </row>
    <row r="330" spans="1:16">
      <c r="A330" t="s">
        <v>341</v>
      </c>
      <c r="B330">
        <v>19</v>
      </c>
      <c r="C330" t="s">
        <v>413</v>
      </c>
      <c r="D330" t="s">
        <v>417</v>
      </c>
      <c r="E330" t="s">
        <v>425</v>
      </c>
      <c r="F330" t="s">
        <v>429</v>
      </c>
      <c r="G330">
        <v>105.214</v>
      </c>
      <c r="H330">
        <v>22.423999999999999</v>
      </c>
      <c r="I330">
        <v>38</v>
      </c>
      <c r="J330">
        <v>162.49</v>
      </c>
      <c r="K330" t="s">
        <v>433</v>
      </c>
      <c r="L330" t="s">
        <v>434</v>
      </c>
      <c r="M330" t="s">
        <v>442</v>
      </c>
      <c r="N330" t="s">
        <v>444</v>
      </c>
      <c r="O330">
        <v>7</v>
      </c>
      <c r="P330">
        <v>26</v>
      </c>
    </row>
    <row r="331" spans="1:16">
      <c r="A331" t="s">
        <v>342</v>
      </c>
      <c r="B331">
        <v>20</v>
      </c>
      <c r="C331" t="s">
        <v>413</v>
      </c>
      <c r="D331" t="s">
        <v>418</v>
      </c>
      <c r="E331" t="s">
        <v>426</v>
      </c>
      <c r="F331" t="s">
        <v>429</v>
      </c>
      <c r="G331">
        <v>216.465</v>
      </c>
      <c r="H331">
        <v>31.222999999999999</v>
      </c>
      <c r="I331">
        <v>43</v>
      </c>
      <c r="J331">
        <v>707.85</v>
      </c>
      <c r="K331" t="s">
        <v>432</v>
      </c>
      <c r="L331" t="s">
        <v>435</v>
      </c>
      <c r="M331" t="s">
        <v>441</v>
      </c>
      <c r="N331" t="s">
        <v>444</v>
      </c>
      <c r="O331">
        <v>6</v>
      </c>
      <c r="P331">
        <v>49.71</v>
      </c>
    </row>
    <row r="332" spans="1:16">
      <c r="A332" t="s">
        <v>343</v>
      </c>
      <c r="B332">
        <v>29</v>
      </c>
      <c r="C332" t="s">
        <v>414</v>
      </c>
      <c r="D332" t="s">
        <v>420</v>
      </c>
      <c r="E332" t="s">
        <v>425</v>
      </c>
      <c r="F332" t="s">
        <v>431</v>
      </c>
      <c r="G332">
        <v>104.742</v>
      </c>
      <c r="H332">
        <v>67.263999999999996</v>
      </c>
      <c r="I332">
        <v>28</v>
      </c>
      <c r="J332">
        <v>2402.29</v>
      </c>
      <c r="K332" t="s">
        <v>432</v>
      </c>
      <c r="L332" t="s">
        <v>434</v>
      </c>
      <c r="M332" t="s">
        <v>438</v>
      </c>
      <c r="N332" t="s">
        <v>444</v>
      </c>
      <c r="O332">
        <v>5</v>
      </c>
      <c r="P332">
        <v>22.14</v>
      </c>
    </row>
    <row r="333" spans="1:16">
      <c r="A333" t="s">
        <v>344</v>
      </c>
      <c r="B333">
        <v>28</v>
      </c>
      <c r="C333" t="s">
        <v>414</v>
      </c>
      <c r="D333" t="s">
        <v>419</v>
      </c>
      <c r="E333" t="s">
        <v>425</v>
      </c>
      <c r="F333" t="s">
        <v>429</v>
      </c>
      <c r="G333">
        <v>41.683</v>
      </c>
      <c r="H333">
        <v>37.622</v>
      </c>
      <c r="I333">
        <v>99</v>
      </c>
      <c r="J333">
        <v>885.07</v>
      </c>
      <c r="K333" t="s">
        <v>432</v>
      </c>
      <c r="L333" t="s">
        <v>435</v>
      </c>
      <c r="M333" t="s">
        <v>439</v>
      </c>
      <c r="N333" t="s">
        <v>444</v>
      </c>
      <c r="O333">
        <v>10</v>
      </c>
      <c r="P333">
        <v>34.54</v>
      </c>
    </row>
    <row r="334" spans="1:16">
      <c r="A334" t="s">
        <v>345</v>
      </c>
      <c r="B334">
        <v>68</v>
      </c>
      <c r="C334" t="s">
        <v>414</v>
      </c>
      <c r="D334" t="s">
        <v>421</v>
      </c>
      <c r="E334" t="s">
        <v>426</v>
      </c>
      <c r="F334" t="s">
        <v>429</v>
      </c>
      <c r="G334">
        <v>193.839</v>
      </c>
      <c r="H334">
        <v>32.847000000000001</v>
      </c>
      <c r="I334">
        <v>18</v>
      </c>
      <c r="J334">
        <v>859.69</v>
      </c>
      <c r="K334" t="s">
        <v>432</v>
      </c>
      <c r="L334" t="s">
        <v>437</v>
      </c>
      <c r="M334" t="s">
        <v>441</v>
      </c>
      <c r="N334" t="s">
        <v>443</v>
      </c>
      <c r="O334">
        <v>3</v>
      </c>
      <c r="P334">
        <v>41.5</v>
      </c>
    </row>
    <row r="335" spans="1:16">
      <c r="A335" t="s">
        <v>346</v>
      </c>
      <c r="B335">
        <v>65</v>
      </c>
      <c r="C335" t="s">
        <v>414</v>
      </c>
      <c r="D335" t="s">
        <v>419</v>
      </c>
      <c r="E335" t="s">
        <v>425</v>
      </c>
      <c r="F335" t="s">
        <v>429</v>
      </c>
      <c r="G335">
        <v>247.977</v>
      </c>
      <c r="H335">
        <v>38.247999999999998</v>
      </c>
      <c r="I335">
        <v>24</v>
      </c>
      <c r="J335">
        <v>308.45</v>
      </c>
      <c r="K335" t="s">
        <v>432</v>
      </c>
      <c r="L335" t="s">
        <v>434</v>
      </c>
      <c r="M335" t="s">
        <v>440</v>
      </c>
      <c r="N335" t="s">
        <v>444</v>
      </c>
      <c r="O335">
        <v>7</v>
      </c>
      <c r="P335">
        <v>32.47</v>
      </c>
    </row>
    <row r="336" spans="1:16">
      <c r="A336" t="s">
        <v>347</v>
      </c>
      <c r="B336">
        <v>23</v>
      </c>
      <c r="C336" t="s">
        <v>413</v>
      </c>
      <c r="D336" t="s">
        <v>418</v>
      </c>
      <c r="E336" t="s">
        <v>424</v>
      </c>
      <c r="F336" t="s">
        <v>430</v>
      </c>
      <c r="G336">
        <v>131.10900000000001</v>
      </c>
      <c r="H336">
        <v>20.559000000000001</v>
      </c>
      <c r="I336">
        <v>56</v>
      </c>
      <c r="J336">
        <v>367.12</v>
      </c>
      <c r="K336" t="s">
        <v>432</v>
      </c>
      <c r="L336" t="s">
        <v>434</v>
      </c>
      <c r="M336" t="s">
        <v>441</v>
      </c>
      <c r="N336" t="s">
        <v>445</v>
      </c>
      <c r="O336">
        <v>10</v>
      </c>
      <c r="P336">
        <v>45.49</v>
      </c>
    </row>
    <row r="337" spans="1:16">
      <c r="A337" t="s">
        <v>348</v>
      </c>
      <c r="B337">
        <v>71</v>
      </c>
      <c r="C337" t="s">
        <v>414</v>
      </c>
      <c r="D337" t="s">
        <v>420</v>
      </c>
      <c r="E337" t="s">
        <v>424</v>
      </c>
      <c r="F337" t="s">
        <v>431</v>
      </c>
      <c r="G337">
        <v>241.10499999999999</v>
      </c>
      <c r="H337">
        <v>47.703000000000003</v>
      </c>
      <c r="I337">
        <v>51</v>
      </c>
      <c r="J337">
        <v>868.35</v>
      </c>
      <c r="K337" t="s">
        <v>432</v>
      </c>
      <c r="L337" t="s">
        <v>435</v>
      </c>
      <c r="M337" t="s">
        <v>440</v>
      </c>
      <c r="N337" t="s">
        <v>444</v>
      </c>
      <c r="O337">
        <v>8</v>
      </c>
      <c r="P337">
        <v>23.63</v>
      </c>
    </row>
    <row r="338" spans="1:16">
      <c r="A338" t="s">
        <v>349</v>
      </c>
      <c r="B338">
        <v>47</v>
      </c>
      <c r="C338" t="s">
        <v>413</v>
      </c>
      <c r="D338" t="s">
        <v>416</v>
      </c>
      <c r="E338" t="s">
        <v>426</v>
      </c>
      <c r="F338" t="s">
        <v>429</v>
      </c>
      <c r="G338">
        <v>84.515000000000001</v>
      </c>
      <c r="H338">
        <v>25.73</v>
      </c>
      <c r="I338">
        <v>86</v>
      </c>
      <c r="J338">
        <v>299.19</v>
      </c>
      <c r="K338" t="s">
        <v>433</v>
      </c>
      <c r="L338" t="s">
        <v>434</v>
      </c>
      <c r="M338" t="s">
        <v>438</v>
      </c>
      <c r="N338" t="s">
        <v>444</v>
      </c>
      <c r="O338">
        <v>3</v>
      </c>
      <c r="P338">
        <v>2.09</v>
      </c>
    </row>
    <row r="339" spans="1:16">
      <c r="A339" t="s">
        <v>350</v>
      </c>
      <c r="B339">
        <v>60</v>
      </c>
      <c r="C339" t="s">
        <v>414</v>
      </c>
      <c r="D339" t="s">
        <v>418</v>
      </c>
      <c r="E339" t="s">
        <v>426</v>
      </c>
      <c r="F339" t="s">
        <v>428</v>
      </c>
      <c r="G339">
        <v>185.203</v>
      </c>
      <c r="H339">
        <v>65.188000000000002</v>
      </c>
      <c r="I339">
        <v>66</v>
      </c>
      <c r="J339">
        <v>1593.76</v>
      </c>
      <c r="K339" t="s">
        <v>432</v>
      </c>
      <c r="L339" t="s">
        <v>435</v>
      </c>
      <c r="M339" t="s">
        <v>441</v>
      </c>
      <c r="N339" t="s">
        <v>443</v>
      </c>
      <c r="O339">
        <v>5</v>
      </c>
      <c r="P339">
        <v>36.25</v>
      </c>
    </row>
    <row r="340" spans="1:16">
      <c r="A340" t="s">
        <v>351</v>
      </c>
      <c r="B340">
        <v>18</v>
      </c>
      <c r="C340" t="s">
        <v>413</v>
      </c>
      <c r="D340" t="s">
        <v>420</v>
      </c>
      <c r="E340" t="s">
        <v>424</v>
      </c>
      <c r="F340" t="s">
        <v>428</v>
      </c>
      <c r="G340">
        <v>205.667</v>
      </c>
      <c r="H340">
        <v>69.259</v>
      </c>
      <c r="I340">
        <v>44</v>
      </c>
      <c r="J340">
        <v>480.97</v>
      </c>
      <c r="K340" t="s">
        <v>433</v>
      </c>
      <c r="L340" t="s">
        <v>435</v>
      </c>
      <c r="M340" t="s">
        <v>439</v>
      </c>
      <c r="N340" t="s">
        <v>445</v>
      </c>
      <c r="O340">
        <v>4</v>
      </c>
      <c r="P340">
        <v>8.57</v>
      </c>
    </row>
    <row r="341" spans="1:16">
      <c r="A341" t="s">
        <v>352</v>
      </c>
      <c r="B341">
        <v>72</v>
      </c>
      <c r="C341" t="s">
        <v>414</v>
      </c>
      <c r="D341" t="s">
        <v>422</v>
      </c>
      <c r="E341" t="s">
        <v>424</v>
      </c>
      <c r="F341" t="s">
        <v>428</v>
      </c>
      <c r="G341">
        <v>224.208</v>
      </c>
      <c r="H341">
        <v>21.105</v>
      </c>
      <c r="I341">
        <v>62</v>
      </c>
      <c r="J341">
        <v>340.4</v>
      </c>
      <c r="K341" t="s">
        <v>432</v>
      </c>
      <c r="L341" t="s">
        <v>436</v>
      </c>
      <c r="M341" t="s">
        <v>438</v>
      </c>
      <c r="N341" t="s">
        <v>444</v>
      </c>
      <c r="O341">
        <v>4</v>
      </c>
      <c r="P341">
        <v>39.840000000000003</v>
      </c>
    </row>
    <row r="342" spans="1:16">
      <c r="A342" t="s">
        <v>353</v>
      </c>
      <c r="B342">
        <v>42</v>
      </c>
      <c r="C342" t="s">
        <v>414</v>
      </c>
      <c r="D342" t="s">
        <v>421</v>
      </c>
      <c r="E342" t="s">
        <v>425</v>
      </c>
      <c r="F342" t="s">
        <v>429</v>
      </c>
      <c r="G342">
        <v>20.05</v>
      </c>
      <c r="H342">
        <v>83.373000000000005</v>
      </c>
      <c r="I342">
        <v>6</v>
      </c>
      <c r="J342">
        <v>13895.5</v>
      </c>
      <c r="K342" t="s">
        <v>432</v>
      </c>
      <c r="L342" t="s">
        <v>436</v>
      </c>
      <c r="M342" t="s">
        <v>440</v>
      </c>
      <c r="N342" t="s">
        <v>444</v>
      </c>
      <c r="O342">
        <v>10</v>
      </c>
      <c r="P342">
        <v>15.75</v>
      </c>
    </row>
    <row r="343" spans="1:16">
      <c r="A343" t="s">
        <v>354</v>
      </c>
      <c r="B343">
        <v>18</v>
      </c>
      <c r="C343" t="s">
        <v>414</v>
      </c>
      <c r="D343" t="s">
        <v>419</v>
      </c>
      <c r="E343" t="s">
        <v>424</v>
      </c>
      <c r="F343" t="s">
        <v>429</v>
      </c>
      <c r="G343">
        <v>238.172</v>
      </c>
      <c r="H343">
        <v>49.087000000000003</v>
      </c>
      <c r="I343">
        <v>58</v>
      </c>
      <c r="J343">
        <v>1535.98</v>
      </c>
      <c r="K343" t="s">
        <v>432</v>
      </c>
      <c r="L343" t="s">
        <v>436</v>
      </c>
      <c r="M343" t="s">
        <v>439</v>
      </c>
      <c r="N343" t="s">
        <v>444</v>
      </c>
      <c r="O343">
        <v>1</v>
      </c>
      <c r="P343">
        <v>14.76</v>
      </c>
    </row>
    <row r="344" spans="1:16">
      <c r="A344" t="s">
        <v>355</v>
      </c>
      <c r="B344">
        <v>52</v>
      </c>
      <c r="C344" t="s">
        <v>413</v>
      </c>
      <c r="D344" t="s">
        <v>420</v>
      </c>
      <c r="E344" t="s">
        <v>424</v>
      </c>
      <c r="F344" t="s">
        <v>429</v>
      </c>
      <c r="G344">
        <v>28.158000000000001</v>
      </c>
      <c r="H344">
        <v>31.585000000000001</v>
      </c>
      <c r="I344">
        <v>80</v>
      </c>
      <c r="J344">
        <v>394.81</v>
      </c>
      <c r="K344" t="s">
        <v>432</v>
      </c>
      <c r="L344" t="s">
        <v>434</v>
      </c>
      <c r="M344" t="s">
        <v>440</v>
      </c>
      <c r="N344" t="s">
        <v>444</v>
      </c>
      <c r="O344">
        <v>6</v>
      </c>
      <c r="P344">
        <v>12.62</v>
      </c>
    </row>
    <row r="345" spans="1:16">
      <c r="A345" t="s">
        <v>356</v>
      </c>
      <c r="B345">
        <v>35</v>
      </c>
      <c r="C345" t="s">
        <v>414</v>
      </c>
      <c r="D345" t="s">
        <v>422</v>
      </c>
      <c r="E345" t="s">
        <v>424</v>
      </c>
      <c r="F345" t="s">
        <v>431</v>
      </c>
      <c r="G345">
        <v>98.497</v>
      </c>
      <c r="H345">
        <v>8.7080000000000002</v>
      </c>
      <c r="I345">
        <v>13</v>
      </c>
      <c r="J345">
        <v>64.03</v>
      </c>
      <c r="K345" t="s">
        <v>432</v>
      </c>
      <c r="L345" t="s">
        <v>434</v>
      </c>
      <c r="M345" t="s">
        <v>441</v>
      </c>
      <c r="N345" t="s">
        <v>444</v>
      </c>
      <c r="O345">
        <v>3</v>
      </c>
      <c r="P345">
        <v>12.31</v>
      </c>
    </row>
    <row r="346" spans="1:16">
      <c r="A346" t="s">
        <v>357</v>
      </c>
      <c r="B346">
        <v>32</v>
      </c>
      <c r="C346" t="s">
        <v>414</v>
      </c>
      <c r="D346" t="s">
        <v>422</v>
      </c>
      <c r="E346" t="s">
        <v>425</v>
      </c>
      <c r="F346" t="s">
        <v>428</v>
      </c>
      <c r="G346">
        <v>146.13</v>
      </c>
      <c r="H346">
        <v>29.417000000000002</v>
      </c>
      <c r="I346">
        <v>70</v>
      </c>
      <c r="J346">
        <v>420.24</v>
      </c>
      <c r="K346" t="s">
        <v>432</v>
      </c>
      <c r="L346" t="s">
        <v>434</v>
      </c>
      <c r="M346" t="s">
        <v>439</v>
      </c>
      <c r="N346" t="s">
        <v>444</v>
      </c>
      <c r="O346">
        <v>2</v>
      </c>
      <c r="P346">
        <v>29.91</v>
      </c>
    </row>
    <row r="347" spans="1:16">
      <c r="A347" t="s">
        <v>358</v>
      </c>
      <c r="B347">
        <v>45</v>
      </c>
      <c r="C347" t="s">
        <v>413</v>
      </c>
      <c r="D347" t="s">
        <v>417</v>
      </c>
      <c r="E347" t="s">
        <v>425</v>
      </c>
      <c r="F347" t="s">
        <v>429</v>
      </c>
      <c r="G347">
        <v>89.073999999999998</v>
      </c>
      <c r="H347">
        <v>63.65</v>
      </c>
      <c r="I347">
        <v>72</v>
      </c>
      <c r="J347">
        <v>521.72</v>
      </c>
      <c r="K347" t="s">
        <v>432</v>
      </c>
      <c r="L347" t="s">
        <v>435</v>
      </c>
      <c r="M347" t="s">
        <v>438</v>
      </c>
      <c r="N347" t="s">
        <v>443</v>
      </c>
      <c r="O347">
        <v>8</v>
      </c>
      <c r="P347">
        <v>23.75</v>
      </c>
    </row>
    <row r="348" spans="1:16">
      <c r="A348" t="s">
        <v>359</v>
      </c>
      <c r="B348">
        <v>68</v>
      </c>
      <c r="C348" t="s">
        <v>413</v>
      </c>
      <c r="D348" t="s">
        <v>421</v>
      </c>
      <c r="E348" t="s">
        <v>424</v>
      </c>
      <c r="F348" t="s">
        <v>428</v>
      </c>
      <c r="G348">
        <v>70.206999999999994</v>
      </c>
      <c r="H348">
        <v>37.139000000000003</v>
      </c>
      <c r="I348">
        <v>93</v>
      </c>
      <c r="J348">
        <v>1152.03</v>
      </c>
      <c r="K348" t="s">
        <v>433</v>
      </c>
      <c r="L348" t="s">
        <v>436</v>
      </c>
      <c r="M348" t="s">
        <v>439</v>
      </c>
      <c r="N348" t="s">
        <v>445</v>
      </c>
      <c r="O348">
        <v>5</v>
      </c>
      <c r="P348">
        <v>30.94</v>
      </c>
    </row>
    <row r="349" spans="1:16">
      <c r="A349" t="s">
        <v>360</v>
      </c>
      <c r="B349">
        <v>69</v>
      </c>
      <c r="C349" t="s">
        <v>414</v>
      </c>
      <c r="D349" t="s">
        <v>420</v>
      </c>
      <c r="E349" t="s">
        <v>425</v>
      </c>
      <c r="F349" t="s">
        <v>428</v>
      </c>
      <c r="G349">
        <v>152.38</v>
      </c>
      <c r="H349">
        <v>59.518999999999998</v>
      </c>
      <c r="I349">
        <v>52</v>
      </c>
      <c r="J349">
        <v>912.66</v>
      </c>
      <c r="K349" t="s">
        <v>432</v>
      </c>
      <c r="L349" t="s">
        <v>435</v>
      </c>
      <c r="M349" t="s">
        <v>440</v>
      </c>
      <c r="N349" t="s">
        <v>444</v>
      </c>
      <c r="O349">
        <v>2</v>
      </c>
      <c r="P349">
        <v>1.58</v>
      </c>
    </row>
    <row r="350" spans="1:16">
      <c r="A350" t="s">
        <v>361</v>
      </c>
      <c r="B350">
        <v>35</v>
      </c>
      <c r="C350" t="s">
        <v>414</v>
      </c>
      <c r="D350" t="s">
        <v>418</v>
      </c>
      <c r="E350" t="s">
        <v>424</v>
      </c>
      <c r="F350" t="s">
        <v>429</v>
      </c>
      <c r="G350">
        <v>185.78100000000001</v>
      </c>
      <c r="H350">
        <v>53.723999999999997</v>
      </c>
      <c r="I350">
        <v>25</v>
      </c>
      <c r="J350">
        <v>429.79</v>
      </c>
      <c r="K350" t="s">
        <v>433</v>
      </c>
      <c r="L350" t="s">
        <v>435</v>
      </c>
      <c r="M350" t="s">
        <v>441</v>
      </c>
      <c r="N350" t="s">
        <v>445</v>
      </c>
      <c r="O350">
        <v>1</v>
      </c>
      <c r="P350">
        <v>32.520000000000003</v>
      </c>
    </row>
    <row r="351" spans="1:16">
      <c r="A351" t="s">
        <v>362</v>
      </c>
      <c r="B351">
        <v>18</v>
      </c>
      <c r="C351" t="s">
        <v>414</v>
      </c>
      <c r="D351" t="s">
        <v>417</v>
      </c>
      <c r="E351" t="s">
        <v>424</v>
      </c>
      <c r="F351" t="s">
        <v>429</v>
      </c>
      <c r="G351">
        <v>126.98399999999999</v>
      </c>
      <c r="H351">
        <v>36.396000000000001</v>
      </c>
      <c r="I351">
        <v>10</v>
      </c>
      <c r="J351">
        <v>967.24</v>
      </c>
      <c r="K351" t="s">
        <v>432</v>
      </c>
      <c r="L351" t="s">
        <v>436</v>
      </c>
      <c r="M351" t="s">
        <v>438</v>
      </c>
      <c r="N351" t="s">
        <v>444</v>
      </c>
      <c r="O351">
        <v>5</v>
      </c>
      <c r="P351">
        <v>47.74</v>
      </c>
    </row>
    <row r="352" spans="1:16">
      <c r="A352" t="s">
        <v>363</v>
      </c>
      <c r="B352">
        <v>49</v>
      </c>
      <c r="C352" t="s">
        <v>413</v>
      </c>
      <c r="D352" t="s">
        <v>423</v>
      </c>
      <c r="E352" t="s">
        <v>427</v>
      </c>
      <c r="F352" t="s">
        <v>428</v>
      </c>
      <c r="G352">
        <v>123.03700000000001</v>
      </c>
      <c r="H352">
        <v>28.404</v>
      </c>
      <c r="I352">
        <v>83</v>
      </c>
      <c r="J352">
        <v>342.22</v>
      </c>
      <c r="K352" t="s">
        <v>433</v>
      </c>
      <c r="L352" t="s">
        <v>436</v>
      </c>
      <c r="M352" t="s">
        <v>440</v>
      </c>
      <c r="N352" t="s">
        <v>443</v>
      </c>
      <c r="O352">
        <v>8</v>
      </c>
      <c r="P352">
        <v>32.270000000000003</v>
      </c>
    </row>
    <row r="353" spans="1:16">
      <c r="A353" t="s">
        <v>364</v>
      </c>
      <c r="B353">
        <v>64</v>
      </c>
      <c r="C353" t="s">
        <v>414</v>
      </c>
      <c r="D353" t="s">
        <v>420</v>
      </c>
      <c r="E353" t="s">
        <v>424</v>
      </c>
      <c r="F353" t="s">
        <v>428</v>
      </c>
      <c r="G353">
        <v>139.10900000000001</v>
      </c>
      <c r="H353">
        <v>56.265999999999998</v>
      </c>
      <c r="I353">
        <v>36</v>
      </c>
      <c r="J353">
        <v>413.72</v>
      </c>
      <c r="K353" t="s">
        <v>433</v>
      </c>
      <c r="L353" t="s">
        <v>435</v>
      </c>
      <c r="M353" t="s">
        <v>441</v>
      </c>
      <c r="N353" t="s">
        <v>444</v>
      </c>
      <c r="O353">
        <v>6</v>
      </c>
      <c r="P353">
        <v>29.48</v>
      </c>
    </row>
    <row r="354" spans="1:16">
      <c r="A354" t="s">
        <v>365</v>
      </c>
      <c r="B354">
        <v>42</v>
      </c>
      <c r="C354" t="s">
        <v>414</v>
      </c>
      <c r="D354" t="s">
        <v>422</v>
      </c>
      <c r="E354" t="s">
        <v>425</v>
      </c>
      <c r="F354" t="s">
        <v>429</v>
      </c>
      <c r="G354">
        <v>230.02699999999999</v>
      </c>
      <c r="H354">
        <v>65.697000000000003</v>
      </c>
      <c r="I354">
        <v>96</v>
      </c>
      <c r="J354">
        <v>684.34</v>
      </c>
      <c r="K354" t="s">
        <v>433</v>
      </c>
      <c r="L354" t="s">
        <v>435</v>
      </c>
      <c r="M354" t="s">
        <v>442</v>
      </c>
      <c r="N354" t="s">
        <v>443</v>
      </c>
      <c r="O354">
        <v>2</v>
      </c>
      <c r="P354">
        <v>25.37</v>
      </c>
    </row>
    <row r="355" spans="1:16">
      <c r="A355" t="s">
        <v>366</v>
      </c>
      <c r="B355">
        <v>25</v>
      </c>
      <c r="C355" t="s">
        <v>415</v>
      </c>
      <c r="D355" t="s">
        <v>419</v>
      </c>
      <c r="E355" t="s">
        <v>424</v>
      </c>
      <c r="F355" t="s">
        <v>431</v>
      </c>
      <c r="G355">
        <v>75.406000000000006</v>
      </c>
      <c r="H355">
        <v>56.802999999999997</v>
      </c>
      <c r="I355">
        <v>72</v>
      </c>
      <c r="J355">
        <v>788.93</v>
      </c>
      <c r="K355" t="s">
        <v>432</v>
      </c>
      <c r="L355" t="s">
        <v>435</v>
      </c>
      <c r="M355" t="s">
        <v>438</v>
      </c>
      <c r="N355" t="s">
        <v>443</v>
      </c>
      <c r="O355">
        <v>9</v>
      </c>
      <c r="P355">
        <v>27.57</v>
      </c>
    </row>
    <row r="356" spans="1:16">
      <c r="A356" t="s">
        <v>367</v>
      </c>
      <c r="B356">
        <v>29</v>
      </c>
      <c r="C356" t="s">
        <v>413</v>
      </c>
      <c r="D356" t="s">
        <v>416</v>
      </c>
      <c r="E356" t="s">
        <v>424</v>
      </c>
      <c r="F356" t="s">
        <v>428</v>
      </c>
      <c r="G356">
        <v>71.430000000000007</v>
      </c>
      <c r="H356">
        <v>68.638000000000005</v>
      </c>
      <c r="I356">
        <v>16</v>
      </c>
      <c r="J356">
        <v>5539.88</v>
      </c>
      <c r="K356" t="s">
        <v>432</v>
      </c>
      <c r="L356" t="s">
        <v>435</v>
      </c>
      <c r="M356" t="s">
        <v>442</v>
      </c>
      <c r="N356" t="s">
        <v>443</v>
      </c>
      <c r="O356">
        <v>7</v>
      </c>
      <c r="P356">
        <v>35.06</v>
      </c>
    </row>
    <row r="357" spans="1:16">
      <c r="A357" t="s">
        <v>368</v>
      </c>
      <c r="B357">
        <v>56</v>
      </c>
      <c r="C357" t="s">
        <v>415</v>
      </c>
      <c r="D357" t="s">
        <v>423</v>
      </c>
      <c r="E357" t="s">
        <v>425</v>
      </c>
      <c r="F357" t="s">
        <v>428</v>
      </c>
      <c r="G357">
        <v>201.887</v>
      </c>
      <c r="H357">
        <v>67.024000000000001</v>
      </c>
      <c r="I357">
        <v>67</v>
      </c>
      <c r="J357">
        <v>1000.36</v>
      </c>
      <c r="K357" t="s">
        <v>432</v>
      </c>
      <c r="L357" t="s">
        <v>435</v>
      </c>
      <c r="M357" t="s">
        <v>438</v>
      </c>
      <c r="N357" t="s">
        <v>443</v>
      </c>
      <c r="O357">
        <v>10</v>
      </c>
      <c r="P357">
        <v>37.06</v>
      </c>
    </row>
    <row r="358" spans="1:16">
      <c r="A358" t="s">
        <v>369</v>
      </c>
      <c r="B358">
        <v>24</v>
      </c>
      <c r="C358" t="s">
        <v>414</v>
      </c>
      <c r="D358" t="s">
        <v>418</v>
      </c>
      <c r="E358" t="s">
        <v>424</v>
      </c>
      <c r="F358" t="s">
        <v>429</v>
      </c>
      <c r="G358">
        <v>87.07</v>
      </c>
      <c r="H358">
        <v>23.2</v>
      </c>
      <c r="I358">
        <v>49</v>
      </c>
      <c r="J358">
        <v>155.69999999999999</v>
      </c>
      <c r="K358" t="s">
        <v>432</v>
      </c>
      <c r="L358" t="s">
        <v>436</v>
      </c>
      <c r="M358" t="s">
        <v>439</v>
      </c>
      <c r="N358" t="s">
        <v>445</v>
      </c>
      <c r="O358">
        <v>10</v>
      </c>
      <c r="P358">
        <v>2.38</v>
      </c>
    </row>
    <row r="359" spans="1:16">
      <c r="A359" t="s">
        <v>370</v>
      </c>
      <c r="B359">
        <v>54</v>
      </c>
      <c r="C359" t="s">
        <v>414</v>
      </c>
      <c r="D359" t="s">
        <v>418</v>
      </c>
      <c r="E359" t="s">
        <v>424</v>
      </c>
      <c r="F359" t="s">
        <v>431</v>
      </c>
      <c r="G359">
        <v>122.812</v>
      </c>
      <c r="H359">
        <v>49.152999999999999</v>
      </c>
      <c r="I359">
        <v>45</v>
      </c>
      <c r="J359">
        <v>949.16</v>
      </c>
      <c r="K359" t="s">
        <v>432</v>
      </c>
      <c r="L359" t="s">
        <v>435</v>
      </c>
      <c r="M359" t="s">
        <v>439</v>
      </c>
      <c r="N359" t="s">
        <v>445</v>
      </c>
      <c r="O359">
        <v>2</v>
      </c>
      <c r="P359">
        <v>44.91</v>
      </c>
    </row>
    <row r="360" spans="1:16">
      <c r="A360" t="s">
        <v>371</v>
      </c>
      <c r="B360">
        <v>36</v>
      </c>
      <c r="C360" t="s">
        <v>413</v>
      </c>
      <c r="D360" t="s">
        <v>421</v>
      </c>
      <c r="E360" t="s">
        <v>424</v>
      </c>
      <c r="F360" t="s">
        <v>429</v>
      </c>
      <c r="G360">
        <v>227.97200000000001</v>
      </c>
      <c r="H360">
        <v>52.996000000000002</v>
      </c>
      <c r="I360">
        <v>57</v>
      </c>
      <c r="J360">
        <v>452.96</v>
      </c>
      <c r="K360" t="s">
        <v>432</v>
      </c>
      <c r="L360" t="s">
        <v>436</v>
      </c>
      <c r="M360" t="s">
        <v>441</v>
      </c>
      <c r="N360" t="s">
        <v>444</v>
      </c>
      <c r="O360">
        <v>7</v>
      </c>
      <c r="P360">
        <v>30.51</v>
      </c>
    </row>
    <row r="361" spans="1:16">
      <c r="A361" t="s">
        <v>372</v>
      </c>
      <c r="B361">
        <v>33</v>
      </c>
      <c r="C361" t="s">
        <v>414</v>
      </c>
      <c r="D361" t="s">
        <v>420</v>
      </c>
      <c r="E361" t="s">
        <v>425</v>
      </c>
      <c r="F361" t="s">
        <v>431</v>
      </c>
      <c r="G361">
        <v>194.36099999999999</v>
      </c>
      <c r="H361">
        <v>26.882000000000001</v>
      </c>
      <c r="I361">
        <v>45</v>
      </c>
      <c r="J361">
        <v>597.38</v>
      </c>
      <c r="K361" t="s">
        <v>433</v>
      </c>
      <c r="L361" t="s">
        <v>434</v>
      </c>
      <c r="M361" t="s">
        <v>441</v>
      </c>
      <c r="N361" t="s">
        <v>443</v>
      </c>
      <c r="O361">
        <v>5</v>
      </c>
      <c r="P361">
        <v>44.07</v>
      </c>
    </row>
    <row r="362" spans="1:16">
      <c r="A362" t="s">
        <v>373</v>
      </c>
      <c r="B362">
        <v>48</v>
      </c>
      <c r="C362" t="s">
        <v>413</v>
      </c>
      <c r="D362" t="s">
        <v>423</v>
      </c>
      <c r="E362" t="s">
        <v>425</v>
      </c>
      <c r="F362" t="s">
        <v>428</v>
      </c>
      <c r="G362">
        <v>172.84399999999999</v>
      </c>
      <c r="H362">
        <v>52.482999999999997</v>
      </c>
      <c r="I362">
        <v>92</v>
      </c>
      <c r="J362">
        <v>1005.25</v>
      </c>
      <c r="K362" t="s">
        <v>433</v>
      </c>
      <c r="L362" t="s">
        <v>435</v>
      </c>
      <c r="M362" t="s">
        <v>439</v>
      </c>
      <c r="N362" t="s">
        <v>445</v>
      </c>
      <c r="O362">
        <v>2</v>
      </c>
      <c r="P362">
        <v>36.17</v>
      </c>
    </row>
    <row r="363" spans="1:16">
      <c r="A363" t="s">
        <v>374</v>
      </c>
      <c r="B363">
        <v>29</v>
      </c>
      <c r="C363" t="s">
        <v>414</v>
      </c>
      <c r="D363" t="s">
        <v>420</v>
      </c>
      <c r="E363" t="s">
        <v>425</v>
      </c>
      <c r="F363" t="s">
        <v>431</v>
      </c>
      <c r="G363">
        <v>194.816</v>
      </c>
      <c r="H363">
        <v>55.899000000000001</v>
      </c>
      <c r="I363">
        <v>53</v>
      </c>
      <c r="J363">
        <v>600.69000000000005</v>
      </c>
      <c r="K363" t="s">
        <v>432</v>
      </c>
      <c r="L363" t="s">
        <v>435</v>
      </c>
      <c r="M363" t="s">
        <v>442</v>
      </c>
      <c r="N363" t="s">
        <v>443</v>
      </c>
      <c r="O363">
        <v>6</v>
      </c>
      <c r="P363">
        <v>23.29</v>
      </c>
    </row>
    <row r="364" spans="1:16">
      <c r="A364" t="s">
        <v>375</v>
      </c>
      <c r="B364">
        <v>56</v>
      </c>
      <c r="C364" t="s">
        <v>414</v>
      </c>
      <c r="D364" t="s">
        <v>422</v>
      </c>
      <c r="E364" t="s">
        <v>426</v>
      </c>
      <c r="F364" t="s">
        <v>431</v>
      </c>
      <c r="G364">
        <v>237.01400000000001</v>
      </c>
      <c r="H364">
        <v>45.930999999999997</v>
      </c>
      <c r="I364">
        <v>43</v>
      </c>
      <c r="J364">
        <v>600.91999999999996</v>
      </c>
      <c r="K364" t="s">
        <v>433</v>
      </c>
      <c r="L364" t="s">
        <v>434</v>
      </c>
      <c r="M364" t="s">
        <v>441</v>
      </c>
      <c r="N364" t="s">
        <v>443</v>
      </c>
      <c r="O364">
        <v>6</v>
      </c>
      <c r="P364">
        <v>21.56</v>
      </c>
    </row>
    <row r="365" spans="1:16">
      <c r="A365" t="s">
        <v>376</v>
      </c>
      <c r="B365">
        <v>32</v>
      </c>
      <c r="C365" t="s">
        <v>414</v>
      </c>
      <c r="D365" t="s">
        <v>416</v>
      </c>
      <c r="E365" t="s">
        <v>425</v>
      </c>
      <c r="F365" t="s">
        <v>430</v>
      </c>
      <c r="G365">
        <v>123.80500000000001</v>
      </c>
      <c r="H365">
        <v>44.101999999999997</v>
      </c>
      <c r="I365">
        <v>65</v>
      </c>
      <c r="J365">
        <v>1755.42</v>
      </c>
      <c r="K365" t="s">
        <v>432</v>
      </c>
      <c r="L365" t="s">
        <v>436</v>
      </c>
      <c r="M365" t="s">
        <v>441</v>
      </c>
      <c r="N365" t="s">
        <v>444</v>
      </c>
      <c r="O365">
        <v>9</v>
      </c>
      <c r="P365">
        <v>7.5</v>
      </c>
    </row>
    <row r="366" spans="1:16">
      <c r="A366" t="s">
        <v>377</v>
      </c>
      <c r="B366">
        <v>65</v>
      </c>
      <c r="C366" t="s">
        <v>413</v>
      </c>
      <c r="D366" t="s">
        <v>421</v>
      </c>
      <c r="E366" t="s">
        <v>425</v>
      </c>
      <c r="F366" t="s">
        <v>429</v>
      </c>
      <c r="G366">
        <v>184.08</v>
      </c>
      <c r="H366">
        <v>56.399000000000001</v>
      </c>
      <c r="I366">
        <v>50</v>
      </c>
      <c r="J366">
        <v>575.99</v>
      </c>
      <c r="K366" t="s">
        <v>432</v>
      </c>
      <c r="L366" t="s">
        <v>436</v>
      </c>
      <c r="M366" t="s">
        <v>440</v>
      </c>
      <c r="N366" t="s">
        <v>444</v>
      </c>
      <c r="O366">
        <v>3</v>
      </c>
      <c r="P366">
        <v>23.87</v>
      </c>
    </row>
    <row r="367" spans="1:16">
      <c r="A367" t="s">
        <v>378</v>
      </c>
      <c r="B367">
        <v>50</v>
      </c>
      <c r="C367" t="s">
        <v>413</v>
      </c>
      <c r="D367" t="s">
        <v>419</v>
      </c>
      <c r="E367" t="s">
        <v>424</v>
      </c>
      <c r="F367" t="s">
        <v>431</v>
      </c>
      <c r="G367">
        <v>70.733999999999995</v>
      </c>
      <c r="H367">
        <v>28.715</v>
      </c>
      <c r="I367">
        <v>33</v>
      </c>
      <c r="J367">
        <v>870.15</v>
      </c>
      <c r="K367" t="s">
        <v>432</v>
      </c>
      <c r="L367" t="s">
        <v>435</v>
      </c>
      <c r="M367" t="s">
        <v>440</v>
      </c>
      <c r="N367" t="s">
        <v>443</v>
      </c>
      <c r="O367">
        <v>1</v>
      </c>
      <c r="P367">
        <v>47.71</v>
      </c>
    </row>
    <row r="368" spans="1:16">
      <c r="A368" t="s">
        <v>379</v>
      </c>
      <c r="B368">
        <v>57</v>
      </c>
      <c r="C368" t="s">
        <v>414</v>
      </c>
      <c r="D368" t="s">
        <v>419</v>
      </c>
      <c r="E368" t="s">
        <v>424</v>
      </c>
      <c r="F368" t="s">
        <v>429</v>
      </c>
      <c r="G368">
        <v>184.10900000000001</v>
      </c>
      <c r="H368">
        <v>68.61</v>
      </c>
      <c r="I368">
        <v>99</v>
      </c>
      <c r="J368">
        <v>693.03</v>
      </c>
      <c r="K368" t="s">
        <v>432</v>
      </c>
      <c r="L368" t="s">
        <v>436</v>
      </c>
      <c r="M368" t="s">
        <v>438</v>
      </c>
      <c r="N368" t="s">
        <v>443</v>
      </c>
      <c r="O368">
        <v>9</v>
      </c>
      <c r="P368">
        <v>17.5</v>
      </c>
    </row>
    <row r="369" spans="1:16">
      <c r="A369" t="s">
        <v>380</v>
      </c>
      <c r="B369">
        <v>62</v>
      </c>
      <c r="C369" t="s">
        <v>413</v>
      </c>
      <c r="D369" t="s">
        <v>419</v>
      </c>
      <c r="E369" t="s">
        <v>425</v>
      </c>
      <c r="F369" t="s">
        <v>429</v>
      </c>
      <c r="G369">
        <v>54.488999999999997</v>
      </c>
      <c r="H369">
        <v>46.334000000000003</v>
      </c>
      <c r="I369">
        <v>44</v>
      </c>
      <c r="J369">
        <v>615.6</v>
      </c>
      <c r="K369" t="s">
        <v>433</v>
      </c>
      <c r="L369" t="s">
        <v>436</v>
      </c>
      <c r="M369" t="s">
        <v>439</v>
      </c>
      <c r="N369" t="s">
        <v>444</v>
      </c>
      <c r="O369">
        <v>7</v>
      </c>
      <c r="P369">
        <v>18.399999999999999</v>
      </c>
    </row>
    <row r="370" spans="1:16">
      <c r="A370" t="s">
        <v>381</v>
      </c>
      <c r="B370">
        <v>37</v>
      </c>
      <c r="C370" t="s">
        <v>415</v>
      </c>
      <c r="D370" t="s">
        <v>422</v>
      </c>
      <c r="E370" t="s">
        <v>426</v>
      </c>
      <c r="F370" t="s">
        <v>429</v>
      </c>
      <c r="G370">
        <v>75.503</v>
      </c>
      <c r="H370">
        <v>52.887</v>
      </c>
      <c r="I370">
        <v>57</v>
      </c>
      <c r="J370">
        <v>416.43</v>
      </c>
      <c r="K370" t="s">
        <v>432</v>
      </c>
      <c r="L370" t="s">
        <v>434</v>
      </c>
      <c r="M370" t="s">
        <v>440</v>
      </c>
      <c r="N370" t="s">
        <v>445</v>
      </c>
      <c r="O370">
        <v>3</v>
      </c>
      <c r="P370">
        <v>2.16</v>
      </c>
    </row>
    <row r="371" spans="1:16">
      <c r="A371" t="s">
        <v>382</v>
      </c>
      <c r="B371">
        <v>63</v>
      </c>
      <c r="C371" t="s">
        <v>414</v>
      </c>
      <c r="D371" t="s">
        <v>423</v>
      </c>
      <c r="E371" t="s">
        <v>425</v>
      </c>
      <c r="F371" t="s">
        <v>431</v>
      </c>
      <c r="G371">
        <v>51.195</v>
      </c>
      <c r="H371">
        <v>60.918999999999997</v>
      </c>
      <c r="I371">
        <v>65</v>
      </c>
      <c r="J371">
        <v>937.22</v>
      </c>
      <c r="K371" t="s">
        <v>433</v>
      </c>
      <c r="L371" t="s">
        <v>435</v>
      </c>
      <c r="M371" t="s">
        <v>442</v>
      </c>
      <c r="N371" t="s">
        <v>443</v>
      </c>
      <c r="O371">
        <v>8</v>
      </c>
      <c r="P371">
        <v>44.71</v>
      </c>
    </row>
    <row r="372" spans="1:16">
      <c r="A372" t="s">
        <v>383</v>
      </c>
      <c r="B372">
        <v>51</v>
      </c>
      <c r="C372" t="s">
        <v>413</v>
      </c>
      <c r="D372" t="s">
        <v>421</v>
      </c>
      <c r="E372" t="s">
        <v>425</v>
      </c>
      <c r="F372" t="s">
        <v>431</v>
      </c>
      <c r="G372">
        <v>25.786000000000001</v>
      </c>
      <c r="H372">
        <v>58.548000000000002</v>
      </c>
      <c r="I372">
        <v>52</v>
      </c>
      <c r="J372">
        <v>522.75</v>
      </c>
      <c r="K372" t="s">
        <v>432</v>
      </c>
      <c r="L372" t="s">
        <v>436</v>
      </c>
      <c r="M372" t="s">
        <v>442</v>
      </c>
      <c r="N372" t="s">
        <v>443</v>
      </c>
      <c r="O372">
        <v>1</v>
      </c>
      <c r="P372">
        <v>49.02</v>
      </c>
    </row>
    <row r="373" spans="1:16">
      <c r="A373" t="s">
        <v>384</v>
      </c>
      <c r="B373">
        <v>67</v>
      </c>
      <c r="C373" t="s">
        <v>414</v>
      </c>
      <c r="D373" t="s">
        <v>421</v>
      </c>
      <c r="E373" t="s">
        <v>424</v>
      </c>
      <c r="F373" t="s">
        <v>430</v>
      </c>
      <c r="G373">
        <v>222.91499999999999</v>
      </c>
      <c r="H373">
        <v>66.304000000000002</v>
      </c>
      <c r="I373">
        <v>6</v>
      </c>
      <c r="J373">
        <v>19384</v>
      </c>
      <c r="K373" t="s">
        <v>432</v>
      </c>
      <c r="L373" t="s">
        <v>434</v>
      </c>
      <c r="M373" t="s">
        <v>440</v>
      </c>
      <c r="N373" t="s">
        <v>443</v>
      </c>
      <c r="O373">
        <v>7</v>
      </c>
      <c r="P373">
        <v>40.25</v>
      </c>
    </row>
    <row r="374" spans="1:16">
      <c r="A374" t="s">
        <v>385</v>
      </c>
      <c r="B374">
        <v>33</v>
      </c>
      <c r="C374" t="s">
        <v>415</v>
      </c>
      <c r="D374" t="s">
        <v>417</v>
      </c>
      <c r="E374" t="s">
        <v>424</v>
      </c>
      <c r="F374" t="s">
        <v>428</v>
      </c>
      <c r="G374">
        <v>162.52500000000001</v>
      </c>
      <c r="H374">
        <v>50.298000000000002</v>
      </c>
      <c r="I374">
        <v>41</v>
      </c>
      <c r="J374">
        <v>1226.78</v>
      </c>
      <c r="K374" t="s">
        <v>432</v>
      </c>
      <c r="L374" t="s">
        <v>435</v>
      </c>
      <c r="M374" t="s">
        <v>442</v>
      </c>
      <c r="N374" t="s">
        <v>443</v>
      </c>
      <c r="O374">
        <v>8</v>
      </c>
      <c r="P374">
        <v>42.84</v>
      </c>
    </row>
    <row r="375" spans="1:16">
      <c r="A375" t="s">
        <v>386</v>
      </c>
      <c r="B375">
        <v>42</v>
      </c>
      <c r="C375" t="s">
        <v>413</v>
      </c>
      <c r="D375" t="s">
        <v>423</v>
      </c>
      <c r="E375" t="s">
        <v>425</v>
      </c>
      <c r="F375" t="s">
        <v>431</v>
      </c>
      <c r="G375">
        <v>143.54400000000001</v>
      </c>
      <c r="H375">
        <v>68.683000000000007</v>
      </c>
      <c r="I375">
        <v>38</v>
      </c>
      <c r="J375">
        <v>2860.08</v>
      </c>
      <c r="K375" t="s">
        <v>433</v>
      </c>
      <c r="L375" t="s">
        <v>436</v>
      </c>
      <c r="M375" t="s">
        <v>441</v>
      </c>
      <c r="N375" t="s">
        <v>443</v>
      </c>
      <c r="O375">
        <v>2</v>
      </c>
      <c r="P375">
        <v>6.37</v>
      </c>
    </row>
    <row r="376" spans="1:16">
      <c r="A376" t="s">
        <v>387</v>
      </c>
      <c r="B376">
        <v>35</v>
      </c>
      <c r="C376" t="s">
        <v>413</v>
      </c>
      <c r="D376" t="s">
        <v>419</v>
      </c>
      <c r="E376" t="s">
        <v>425</v>
      </c>
      <c r="F376" t="s">
        <v>429</v>
      </c>
      <c r="G376">
        <v>108.657</v>
      </c>
      <c r="H376">
        <v>47.271999999999998</v>
      </c>
      <c r="I376">
        <v>68</v>
      </c>
      <c r="J376">
        <v>695.18</v>
      </c>
      <c r="K376" t="s">
        <v>433</v>
      </c>
      <c r="L376" t="s">
        <v>436</v>
      </c>
      <c r="M376" t="s">
        <v>439</v>
      </c>
      <c r="N376" t="s">
        <v>444</v>
      </c>
      <c r="O376">
        <v>6</v>
      </c>
      <c r="P376">
        <v>20.399999999999999</v>
      </c>
    </row>
    <row r="377" spans="1:16">
      <c r="A377" t="s">
        <v>388</v>
      </c>
      <c r="B377">
        <v>26</v>
      </c>
      <c r="C377" t="s">
        <v>413</v>
      </c>
      <c r="D377" t="s">
        <v>416</v>
      </c>
      <c r="E377" t="s">
        <v>425</v>
      </c>
      <c r="F377" t="s">
        <v>429</v>
      </c>
      <c r="G377">
        <v>75.454999999999998</v>
      </c>
      <c r="H377">
        <v>22.423999999999999</v>
      </c>
      <c r="I377">
        <v>15</v>
      </c>
      <c r="J377">
        <v>194.99</v>
      </c>
      <c r="K377" t="s">
        <v>432</v>
      </c>
      <c r="L377" t="s">
        <v>435</v>
      </c>
      <c r="M377" t="s">
        <v>438</v>
      </c>
      <c r="N377" t="s">
        <v>444</v>
      </c>
      <c r="O377">
        <v>1</v>
      </c>
      <c r="P377">
        <v>44.33</v>
      </c>
    </row>
    <row r="378" spans="1:16">
      <c r="A378" t="s">
        <v>389</v>
      </c>
      <c r="B378">
        <v>49</v>
      </c>
      <c r="C378" t="s">
        <v>413</v>
      </c>
      <c r="D378" t="s">
        <v>419</v>
      </c>
      <c r="E378" t="s">
        <v>425</v>
      </c>
      <c r="F378" t="s">
        <v>429</v>
      </c>
      <c r="G378">
        <v>249.06200000000001</v>
      </c>
      <c r="H378">
        <v>36.564</v>
      </c>
      <c r="I378">
        <v>27</v>
      </c>
      <c r="J378">
        <v>3206.07</v>
      </c>
      <c r="K378" t="s">
        <v>433</v>
      </c>
      <c r="L378" t="s">
        <v>436</v>
      </c>
      <c r="M378" t="s">
        <v>438</v>
      </c>
      <c r="N378" t="s">
        <v>443</v>
      </c>
      <c r="O378">
        <v>5</v>
      </c>
      <c r="P378">
        <v>23.91</v>
      </c>
    </row>
    <row r="379" spans="1:16">
      <c r="A379" t="s">
        <v>390</v>
      </c>
      <c r="B379">
        <v>45</v>
      </c>
      <c r="C379" t="s">
        <v>413</v>
      </c>
      <c r="D379" t="s">
        <v>422</v>
      </c>
      <c r="E379" t="s">
        <v>427</v>
      </c>
      <c r="F379" t="s">
        <v>429</v>
      </c>
      <c r="G379">
        <v>36.906999999999996</v>
      </c>
      <c r="H379">
        <v>13.78</v>
      </c>
      <c r="I379">
        <v>14</v>
      </c>
      <c r="J379">
        <v>95.69</v>
      </c>
      <c r="K379" t="s">
        <v>432</v>
      </c>
      <c r="L379" t="s">
        <v>436</v>
      </c>
      <c r="M379" t="s">
        <v>439</v>
      </c>
      <c r="N379" t="s">
        <v>444</v>
      </c>
      <c r="O379">
        <v>4</v>
      </c>
      <c r="P379">
        <v>35.979999999999997</v>
      </c>
    </row>
    <row r="380" spans="1:16">
      <c r="A380" t="s">
        <v>391</v>
      </c>
      <c r="B380">
        <v>26</v>
      </c>
      <c r="C380" t="s">
        <v>413</v>
      </c>
      <c r="D380" t="s">
        <v>421</v>
      </c>
      <c r="E380" t="s">
        <v>426</v>
      </c>
      <c r="F380" t="s">
        <v>429</v>
      </c>
      <c r="G380">
        <v>173.97399999999999</v>
      </c>
      <c r="H380">
        <v>55.085999999999999</v>
      </c>
      <c r="I380">
        <v>57</v>
      </c>
      <c r="J380">
        <v>898.17</v>
      </c>
      <c r="K380" t="s">
        <v>433</v>
      </c>
      <c r="L380" t="s">
        <v>435</v>
      </c>
      <c r="M380" t="s">
        <v>439</v>
      </c>
      <c r="N380" t="s">
        <v>443</v>
      </c>
      <c r="O380">
        <v>8</v>
      </c>
      <c r="P380">
        <v>19.28</v>
      </c>
    </row>
    <row r="381" spans="1:16">
      <c r="A381" t="s">
        <v>392</v>
      </c>
      <c r="B381">
        <v>52</v>
      </c>
      <c r="C381" t="s">
        <v>413</v>
      </c>
      <c r="D381" t="s">
        <v>417</v>
      </c>
      <c r="E381" t="s">
        <v>425</v>
      </c>
      <c r="F381" t="s">
        <v>430</v>
      </c>
      <c r="G381">
        <v>79.894999999999996</v>
      </c>
      <c r="H381">
        <v>31.138999999999999</v>
      </c>
      <c r="I381">
        <v>63</v>
      </c>
      <c r="J381">
        <v>1605.38</v>
      </c>
      <c r="K381" t="s">
        <v>432</v>
      </c>
      <c r="L381" t="s">
        <v>437</v>
      </c>
      <c r="M381" t="s">
        <v>441</v>
      </c>
      <c r="N381" t="s">
        <v>444</v>
      </c>
      <c r="O381">
        <v>1</v>
      </c>
      <c r="P381">
        <v>26.39</v>
      </c>
    </row>
    <row r="382" spans="1:16">
      <c r="A382" t="s">
        <v>393</v>
      </c>
      <c r="B382">
        <v>53</v>
      </c>
      <c r="C382" t="s">
        <v>414</v>
      </c>
      <c r="D382" t="s">
        <v>422</v>
      </c>
      <c r="E382" t="s">
        <v>424</v>
      </c>
      <c r="F382" t="s">
        <v>431</v>
      </c>
      <c r="G382">
        <v>158.65</v>
      </c>
      <c r="H382">
        <v>60.865000000000002</v>
      </c>
      <c r="I382">
        <v>44</v>
      </c>
      <c r="J382">
        <v>422.67</v>
      </c>
      <c r="K382" t="s">
        <v>432</v>
      </c>
      <c r="L382" t="s">
        <v>434</v>
      </c>
      <c r="M382" t="s">
        <v>438</v>
      </c>
      <c r="N382" t="s">
        <v>443</v>
      </c>
      <c r="O382">
        <v>5</v>
      </c>
      <c r="P382">
        <v>12.12</v>
      </c>
    </row>
    <row r="383" spans="1:16">
      <c r="A383" t="s">
        <v>394</v>
      </c>
      <c r="B383">
        <v>28</v>
      </c>
      <c r="C383" t="s">
        <v>414</v>
      </c>
      <c r="D383" t="s">
        <v>420</v>
      </c>
      <c r="E383" t="s">
        <v>425</v>
      </c>
      <c r="F383" t="s">
        <v>429</v>
      </c>
      <c r="G383">
        <v>245.9</v>
      </c>
      <c r="H383">
        <v>53.237000000000002</v>
      </c>
      <c r="I383">
        <v>35</v>
      </c>
      <c r="J383">
        <v>838.79</v>
      </c>
      <c r="K383" t="s">
        <v>432</v>
      </c>
      <c r="L383" t="s">
        <v>435</v>
      </c>
      <c r="M383" t="s">
        <v>438</v>
      </c>
      <c r="N383" t="s">
        <v>443</v>
      </c>
      <c r="O383">
        <v>1</v>
      </c>
      <c r="P383">
        <v>24.45</v>
      </c>
    </row>
    <row r="384" spans="1:16">
      <c r="A384" t="s">
        <v>395</v>
      </c>
      <c r="B384">
        <v>54</v>
      </c>
      <c r="C384" t="s">
        <v>414</v>
      </c>
      <c r="D384" t="s">
        <v>423</v>
      </c>
      <c r="E384" t="s">
        <v>424</v>
      </c>
      <c r="F384" t="s">
        <v>428</v>
      </c>
      <c r="G384">
        <v>88.897999999999996</v>
      </c>
      <c r="H384">
        <v>10.146000000000001</v>
      </c>
      <c r="I384">
        <v>6</v>
      </c>
      <c r="J384">
        <v>1691</v>
      </c>
      <c r="K384" t="s">
        <v>432</v>
      </c>
      <c r="L384" t="s">
        <v>435</v>
      </c>
      <c r="M384" t="s">
        <v>440</v>
      </c>
      <c r="N384" t="s">
        <v>444</v>
      </c>
      <c r="O384">
        <v>5</v>
      </c>
      <c r="P384">
        <v>22.65</v>
      </c>
    </row>
    <row r="385" spans="1:16">
      <c r="A385" t="s">
        <v>396</v>
      </c>
      <c r="B385">
        <v>58</v>
      </c>
      <c r="C385" t="s">
        <v>413</v>
      </c>
      <c r="D385" t="s">
        <v>417</v>
      </c>
      <c r="E385" t="s">
        <v>425</v>
      </c>
      <c r="F385" t="s">
        <v>431</v>
      </c>
      <c r="G385">
        <v>238.09100000000001</v>
      </c>
      <c r="H385">
        <v>42.595999999999997</v>
      </c>
      <c r="I385">
        <v>38</v>
      </c>
      <c r="J385">
        <v>1120.95</v>
      </c>
      <c r="K385" t="s">
        <v>432</v>
      </c>
      <c r="L385" t="s">
        <v>435</v>
      </c>
      <c r="M385" t="s">
        <v>439</v>
      </c>
      <c r="N385" t="s">
        <v>443</v>
      </c>
      <c r="O385">
        <v>5</v>
      </c>
      <c r="P385">
        <v>25.12</v>
      </c>
    </row>
    <row r="386" spans="1:16">
      <c r="A386" t="s">
        <v>397</v>
      </c>
      <c r="B386">
        <v>68</v>
      </c>
      <c r="C386" t="s">
        <v>414</v>
      </c>
      <c r="D386" t="s">
        <v>421</v>
      </c>
      <c r="E386" t="s">
        <v>425</v>
      </c>
      <c r="F386" t="s">
        <v>429</v>
      </c>
      <c r="G386">
        <v>217.90799999999999</v>
      </c>
      <c r="H386">
        <v>39.588000000000001</v>
      </c>
      <c r="I386">
        <v>50</v>
      </c>
      <c r="J386">
        <v>263.92</v>
      </c>
      <c r="K386" t="s">
        <v>432</v>
      </c>
      <c r="L386" t="s">
        <v>435</v>
      </c>
      <c r="M386" t="s">
        <v>441</v>
      </c>
      <c r="N386" t="s">
        <v>444</v>
      </c>
      <c r="O386">
        <v>9</v>
      </c>
      <c r="P386">
        <v>38.700000000000003</v>
      </c>
    </row>
    <row r="387" spans="1:16">
      <c r="A387" t="s">
        <v>398</v>
      </c>
      <c r="B387">
        <v>37</v>
      </c>
      <c r="C387" t="s">
        <v>413</v>
      </c>
      <c r="D387" t="s">
        <v>421</v>
      </c>
      <c r="E387" t="s">
        <v>425</v>
      </c>
      <c r="F387" t="s">
        <v>429</v>
      </c>
      <c r="G387">
        <v>238.964</v>
      </c>
      <c r="H387">
        <v>28.082000000000001</v>
      </c>
      <c r="I387">
        <v>45</v>
      </c>
      <c r="J387">
        <v>624.04</v>
      </c>
      <c r="K387" t="s">
        <v>432</v>
      </c>
      <c r="L387" t="s">
        <v>435</v>
      </c>
      <c r="M387" t="s">
        <v>438</v>
      </c>
      <c r="N387" t="s">
        <v>443</v>
      </c>
      <c r="O387">
        <v>6</v>
      </c>
      <c r="P387">
        <v>35.56</v>
      </c>
    </row>
    <row r="388" spans="1:16">
      <c r="A388" t="s">
        <v>399</v>
      </c>
      <c r="B388">
        <v>67</v>
      </c>
      <c r="C388" t="s">
        <v>413</v>
      </c>
      <c r="D388" t="s">
        <v>422</v>
      </c>
      <c r="E388" t="s">
        <v>426</v>
      </c>
      <c r="F388" t="s">
        <v>428</v>
      </c>
      <c r="G388">
        <v>73.647999999999996</v>
      </c>
      <c r="H388">
        <v>47.07</v>
      </c>
      <c r="I388">
        <v>51</v>
      </c>
      <c r="J388">
        <v>922.94</v>
      </c>
      <c r="K388" t="s">
        <v>432</v>
      </c>
      <c r="L388" t="s">
        <v>434</v>
      </c>
      <c r="M388" t="s">
        <v>438</v>
      </c>
      <c r="N388" t="s">
        <v>444</v>
      </c>
      <c r="O388">
        <v>4</v>
      </c>
      <c r="P388">
        <v>19.690000000000001</v>
      </c>
    </row>
    <row r="389" spans="1:16">
      <c r="A389" t="s">
        <v>400</v>
      </c>
      <c r="B389">
        <v>29</v>
      </c>
      <c r="C389" t="s">
        <v>413</v>
      </c>
      <c r="D389" t="s">
        <v>420</v>
      </c>
      <c r="E389" t="s">
        <v>426</v>
      </c>
      <c r="F389" t="s">
        <v>429</v>
      </c>
      <c r="G389">
        <v>177.67099999999999</v>
      </c>
      <c r="H389">
        <v>47.037999999999997</v>
      </c>
      <c r="I389">
        <v>77</v>
      </c>
      <c r="J389">
        <v>610.88</v>
      </c>
      <c r="K389" t="s">
        <v>432</v>
      </c>
      <c r="L389" t="s">
        <v>435</v>
      </c>
      <c r="M389" t="s">
        <v>438</v>
      </c>
      <c r="N389" t="s">
        <v>443</v>
      </c>
      <c r="O389">
        <v>5</v>
      </c>
      <c r="P389">
        <v>14.03</v>
      </c>
    </row>
    <row r="390" spans="1:16">
      <c r="A390" t="s">
        <v>401</v>
      </c>
      <c r="B390">
        <v>42</v>
      </c>
      <c r="C390" t="s">
        <v>413</v>
      </c>
      <c r="D390" t="s">
        <v>421</v>
      </c>
      <c r="E390" t="s">
        <v>424</v>
      </c>
      <c r="F390" t="s">
        <v>429</v>
      </c>
      <c r="G390">
        <v>103.938</v>
      </c>
      <c r="H390">
        <v>38.031999999999996</v>
      </c>
      <c r="I390">
        <v>39</v>
      </c>
      <c r="J390">
        <v>777.21</v>
      </c>
      <c r="K390" t="s">
        <v>433</v>
      </c>
      <c r="L390" t="s">
        <v>437</v>
      </c>
      <c r="M390" t="s">
        <v>440</v>
      </c>
      <c r="N390" t="s">
        <v>443</v>
      </c>
      <c r="O390">
        <v>7</v>
      </c>
      <c r="P390">
        <v>25.81</v>
      </c>
    </row>
    <row r="391" spans="1:16">
      <c r="A391" t="s">
        <v>402</v>
      </c>
      <c r="B391">
        <v>58</v>
      </c>
      <c r="C391" t="s">
        <v>414</v>
      </c>
      <c r="D391" t="s">
        <v>423</v>
      </c>
      <c r="E391" t="s">
        <v>425</v>
      </c>
      <c r="F391" t="s">
        <v>429</v>
      </c>
      <c r="G391">
        <v>167.89599999999999</v>
      </c>
      <c r="H391">
        <v>61.677</v>
      </c>
      <c r="I391">
        <v>88</v>
      </c>
      <c r="J391">
        <v>1155.42</v>
      </c>
      <c r="K391" t="s">
        <v>432</v>
      </c>
      <c r="L391" t="s">
        <v>435</v>
      </c>
      <c r="M391" t="s">
        <v>439</v>
      </c>
      <c r="N391" t="s">
        <v>443</v>
      </c>
      <c r="O391">
        <v>4</v>
      </c>
      <c r="P391">
        <v>18.260000000000002</v>
      </c>
    </row>
    <row r="392" spans="1:16">
      <c r="A392" t="s">
        <v>403</v>
      </c>
      <c r="B392">
        <v>46</v>
      </c>
      <c r="C392" t="s">
        <v>414</v>
      </c>
      <c r="D392" t="s">
        <v>417</v>
      </c>
      <c r="E392" t="s">
        <v>427</v>
      </c>
      <c r="F392" t="s">
        <v>431</v>
      </c>
      <c r="G392">
        <v>56.936</v>
      </c>
      <c r="H392">
        <v>29.225000000000001</v>
      </c>
      <c r="I392">
        <v>13</v>
      </c>
      <c r="J392">
        <v>789.6</v>
      </c>
      <c r="K392" t="s">
        <v>432</v>
      </c>
      <c r="L392" t="s">
        <v>434</v>
      </c>
      <c r="M392" t="s">
        <v>441</v>
      </c>
      <c r="N392" t="s">
        <v>444</v>
      </c>
      <c r="O392">
        <v>3</v>
      </c>
      <c r="P392">
        <v>19.690000000000001</v>
      </c>
    </row>
    <row r="393" spans="1:16">
      <c r="A393" t="s">
        <v>404</v>
      </c>
      <c r="B393">
        <v>35</v>
      </c>
      <c r="C393" t="s">
        <v>414</v>
      </c>
      <c r="D393" t="s">
        <v>417</v>
      </c>
      <c r="E393" t="s">
        <v>426</v>
      </c>
      <c r="F393" t="s">
        <v>428</v>
      </c>
      <c r="G393">
        <v>88.338999999999999</v>
      </c>
      <c r="H393">
        <v>53.48</v>
      </c>
      <c r="I393">
        <v>43</v>
      </c>
      <c r="J393">
        <v>793.57</v>
      </c>
      <c r="K393" t="s">
        <v>432</v>
      </c>
      <c r="L393" t="s">
        <v>437</v>
      </c>
      <c r="M393" t="s">
        <v>438</v>
      </c>
      <c r="N393" t="s">
        <v>444</v>
      </c>
      <c r="O393">
        <v>6</v>
      </c>
      <c r="P393">
        <v>42.22</v>
      </c>
    </row>
    <row r="394" spans="1:16">
      <c r="A394" t="s">
        <v>405</v>
      </c>
      <c r="B394">
        <v>74</v>
      </c>
      <c r="C394" t="s">
        <v>414</v>
      </c>
      <c r="D394" t="s">
        <v>422</v>
      </c>
      <c r="E394" t="s">
        <v>424</v>
      </c>
      <c r="F394" t="s">
        <v>428</v>
      </c>
      <c r="G394">
        <v>110.081</v>
      </c>
      <c r="H394">
        <v>36.409999999999997</v>
      </c>
      <c r="I394">
        <v>65</v>
      </c>
      <c r="J394">
        <v>560.15</v>
      </c>
      <c r="K394" t="s">
        <v>432</v>
      </c>
      <c r="L394" t="s">
        <v>436</v>
      </c>
      <c r="M394" t="s">
        <v>442</v>
      </c>
      <c r="N394" t="s">
        <v>443</v>
      </c>
      <c r="O394">
        <v>9</v>
      </c>
      <c r="P394">
        <v>12.29</v>
      </c>
    </row>
    <row r="395" spans="1:16">
      <c r="A395" t="s">
        <v>406</v>
      </c>
      <c r="B395">
        <v>53</v>
      </c>
      <c r="C395" t="s">
        <v>413</v>
      </c>
      <c r="D395" t="s">
        <v>418</v>
      </c>
      <c r="E395" t="s">
        <v>425</v>
      </c>
      <c r="F395" t="s">
        <v>429</v>
      </c>
      <c r="G395">
        <v>24.175000000000001</v>
      </c>
      <c r="H395">
        <v>33.863</v>
      </c>
      <c r="I395">
        <v>35</v>
      </c>
      <c r="J395">
        <v>843.43</v>
      </c>
      <c r="K395" t="s">
        <v>432</v>
      </c>
      <c r="L395" t="s">
        <v>436</v>
      </c>
      <c r="M395" t="s">
        <v>439</v>
      </c>
      <c r="N395" t="s">
        <v>443</v>
      </c>
      <c r="O395">
        <v>8</v>
      </c>
      <c r="P395">
        <v>35.369999999999997</v>
      </c>
    </row>
    <row r="396" spans="1:16">
      <c r="A396" t="s">
        <v>407</v>
      </c>
      <c r="B396">
        <v>75</v>
      </c>
      <c r="C396" t="s">
        <v>413</v>
      </c>
      <c r="D396" t="s">
        <v>421</v>
      </c>
      <c r="E396" t="s">
        <v>424</v>
      </c>
      <c r="F396" t="s">
        <v>429</v>
      </c>
      <c r="G396">
        <v>29.983000000000001</v>
      </c>
      <c r="H396">
        <v>93.712999999999994</v>
      </c>
      <c r="I396">
        <v>17</v>
      </c>
      <c r="J396">
        <v>5512.53</v>
      </c>
      <c r="K396" t="s">
        <v>432</v>
      </c>
      <c r="L396" t="s">
        <v>435</v>
      </c>
      <c r="M396" t="s">
        <v>438</v>
      </c>
      <c r="N396" t="s">
        <v>444</v>
      </c>
      <c r="O396">
        <v>6</v>
      </c>
      <c r="P396">
        <v>18.670000000000002</v>
      </c>
    </row>
    <row r="397" spans="1:16">
      <c r="A397" t="s">
        <v>408</v>
      </c>
      <c r="B397">
        <v>47</v>
      </c>
      <c r="C397" t="s">
        <v>413</v>
      </c>
      <c r="D397" t="s">
        <v>420</v>
      </c>
      <c r="E397" t="s">
        <v>425</v>
      </c>
      <c r="F397" t="s">
        <v>428</v>
      </c>
      <c r="G397">
        <v>207.072</v>
      </c>
      <c r="H397">
        <v>47.353000000000002</v>
      </c>
      <c r="I397">
        <v>88</v>
      </c>
      <c r="J397">
        <v>538.1</v>
      </c>
      <c r="K397" t="s">
        <v>433</v>
      </c>
      <c r="L397" t="s">
        <v>434</v>
      </c>
      <c r="M397" t="s">
        <v>442</v>
      </c>
      <c r="N397" t="s">
        <v>444</v>
      </c>
      <c r="O397">
        <v>8</v>
      </c>
      <c r="P397">
        <v>17.36</v>
      </c>
    </row>
    <row r="398" spans="1:16">
      <c r="A398" t="s">
        <v>409</v>
      </c>
      <c r="B398">
        <v>71</v>
      </c>
      <c r="C398" t="s">
        <v>414</v>
      </c>
      <c r="D398" t="s">
        <v>423</v>
      </c>
      <c r="E398" t="s">
        <v>425</v>
      </c>
      <c r="F398" t="s">
        <v>429</v>
      </c>
      <c r="G398">
        <v>95.131</v>
      </c>
      <c r="H398">
        <v>19.672999999999998</v>
      </c>
      <c r="I398">
        <v>11</v>
      </c>
      <c r="J398">
        <v>887.85</v>
      </c>
      <c r="K398" t="s">
        <v>432</v>
      </c>
      <c r="L398" t="s">
        <v>435</v>
      </c>
      <c r="M398" t="s">
        <v>438</v>
      </c>
      <c r="N398" t="s">
        <v>444</v>
      </c>
      <c r="O398">
        <v>3</v>
      </c>
      <c r="P398">
        <v>14</v>
      </c>
    </row>
    <row r="399" spans="1:16">
      <c r="A399" t="s">
        <v>410</v>
      </c>
      <c r="B399">
        <v>57</v>
      </c>
      <c r="C399" t="s">
        <v>414</v>
      </c>
      <c r="D399" t="s">
        <v>423</v>
      </c>
      <c r="E399" t="s">
        <v>424</v>
      </c>
      <c r="F399" t="s">
        <v>429</v>
      </c>
      <c r="G399">
        <v>120.122</v>
      </c>
      <c r="H399">
        <v>123.724</v>
      </c>
      <c r="I399">
        <v>104</v>
      </c>
      <c r="J399">
        <v>997.35</v>
      </c>
      <c r="K399" t="s">
        <v>432</v>
      </c>
      <c r="L399" t="s">
        <v>434</v>
      </c>
      <c r="M399" t="s">
        <v>441</v>
      </c>
      <c r="N399" t="s">
        <v>444</v>
      </c>
      <c r="O399">
        <v>10</v>
      </c>
      <c r="P399">
        <v>5.79</v>
      </c>
    </row>
    <row r="400" spans="1:16">
      <c r="A400" t="s">
        <v>411</v>
      </c>
      <c r="B400">
        <v>70</v>
      </c>
      <c r="C400" t="s">
        <v>414</v>
      </c>
      <c r="D400" t="s">
        <v>418</v>
      </c>
      <c r="E400" t="s">
        <v>424</v>
      </c>
      <c r="F400" t="s">
        <v>431</v>
      </c>
      <c r="G400">
        <v>72.179000000000002</v>
      </c>
      <c r="H400">
        <v>12.815</v>
      </c>
      <c r="I400">
        <v>26</v>
      </c>
      <c r="J400">
        <v>492.88</v>
      </c>
      <c r="K400" t="s">
        <v>433</v>
      </c>
      <c r="L400" t="s">
        <v>436</v>
      </c>
      <c r="M400" t="s">
        <v>439</v>
      </c>
      <c r="N400" t="s">
        <v>443</v>
      </c>
      <c r="O400">
        <v>10</v>
      </c>
      <c r="P400">
        <v>9.17</v>
      </c>
    </row>
    <row r="401" spans="1:16">
      <c r="A401" t="s">
        <v>412</v>
      </c>
      <c r="B401">
        <v>51</v>
      </c>
      <c r="C401" t="s">
        <v>414</v>
      </c>
      <c r="D401" t="s">
        <v>423</v>
      </c>
      <c r="E401" t="s">
        <v>425</v>
      </c>
      <c r="F401" t="s">
        <v>428</v>
      </c>
      <c r="G401">
        <v>91.25</v>
      </c>
      <c r="H401">
        <v>22.757000000000001</v>
      </c>
      <c r="I401">
        <v>84</v>
      </c>
      <c r="J401">
        <v>270.92</v>
      </c>
      <c r="K401" t="s">
        <v>432</v>
      </c>
      <c r="L401" t="s">
        <v>435</v>
      </c>
      <c r="M401" t="s">
        <v>440</v>
      </c>
      <c r="N401" t="s">
        <v>444</v>
      </c>
      <c r="O401">
        <v>7</v>
      </c>
      <c r="P401">
        <v>25.82</v>
      </c>
    </row>
  </sheetData>
  <autoFilter ref="A1:P401" xr:uid="{00000000-0001-0000-0000-000000000000}"/>
  <pageMargins left="0.7" right="0.7" top="0.75" bottom="0.75" header="0.3" footer="0.3"/>
  <extLst>
    <ext xmlns:x15="http://schemas.microsoft.com/office/spreadsheetml/2010/11/main" uri="{F7C9EE02-42E1-4005-9D12-6889AFFD525C}">
      <x15:webExtensions xmlns:xm="http://schemas.microsoft.com/office/excel/2006/main">
        <x15:webExtension appRef="{B6FF7C80-CE63-EB41-BB45-FA97F7BA3682}">
          <xm:f>'Customer Data Set'!1:1048576</xm:f>
        </x15:webExtension>
        <x15:webExtension appRef="{A133FAA5-C96B-6D4B-B117-AA53CD4BFD71}">
          <xm:f>'Customer Data Set'!$H$1:$H$401</xm:f>
        </x15:webExtension>
        <x15:webExtension appRef="{AD8D4EA8-1A7D-594E-8729-8F03112052B5}">
          <xm:f>'Customer Data Set'!$R$383:$T$401</xm:f>
        </x15:webExtension>
      </x15:webExtens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40FB0-75F3-C441-80EF-0CDAF37102FA}">
  <dimension ref="A1:O401"/>
  <sheetViews>
    <sheetView topLeftCell="B70" zoomScale="150" workbookViewId="0">
      <selection activeCell="G15" sqref="G15"/>
    </sheetView>
  </sheetViews>
  <sheetFormatPr baseColWidth="10" defaultRowHeight="15"/>
  <cols>
    <col min="1" max="1" width="15.33203125" customWidth="1"/>
    <col min="2" max="2" width="11.6640625" bestFit="1" customWidth="1"/>
    <col min="3" max="3" width="36.5" customWidth="1"/>
    <col min="4" max="4" width="20.83203125" customWidth="1"/>
    <col min="5" max="5" width="22.5" customWidth="1"/>
    <col min="6" max="6" width="32.6640625" customWidth="1"/>
    <col min="7" max="8" width="24" customWidth="1"/>
    <col min="9" max="9" width="19" customWidth="1"/>
    <col min="10" max="10" width="14.6640625" customWidth="1"/>
    <col min="11" max="11" width="12" customWidth="1"/>
    <col min="12" max="12" width="15.5" customWidth="1"/>
    <col min="13" max="13" width="13" customWidth="1"/>
    <col min="14" max="14" width="12.83203125" customWidth="1"/>
    <col min="15" max="15" width="16" customWidth="1"/>
  </cols>
  <sheetData>
    <row r="1" spans="1:15" ht="19" customHeight="1">
      <c r="A1" s="2" t="s">
        <v>464</v>
      </c>
      <c r="C1" s="189" t="s">
        <v>631</v>
      </c>
      <c r="D1" s="189"/>
      <c r="E1" s="189"/>
      <c r="F1" s="189"/>
      <c r="G1" s="189"/>
      <c r="H1" s="189"/>
      <c r="I1" s="189"/>
    </row>
    <row r="2" spans="1:15">
      <c r="A2">
        <v>17.388000000000002</v>
      </c>
      <c r="B2" s="143"/>
    </row>
    <row r="3" spans="1:15">
      <c r="A3">
        <v>46.656999999999996</v>
      </c>
      <c r="N3" s="145"/>
      <c r="O3" s="145"/>
    </row>
    <row r="4" spans="1:15" ht="17" thickBot="1">
      <c r="A4">
        <v>68.616</v>
      </c>
      <c r="E4" s="188" t="s">
        <v>593</v>
      </c>
      <c r="F4" s="188"/>
      <c r="N4" s="156"/>
    </row>
    <row r="5" spans="1:15" ht="16">
      <c r="A5">
        <v>28.391999999999999</v>
      </c>
      <c r="E5" s="205" t="s">
        <v>623</v>
      </c>
      <c r="F5" s="205"/>
      <c r="N5" s="156"/>
    </row>
    <row r="6" spans="1:15" ht="16">
      <c r="A6">
        <v>43.87</v>
      </c>
      <c r="E6" s="157" t="s">
        <v>598</v>
      </c>
      <c r="F6" s="157" t="s">
        <v>559</v>
      </c>
      <c r="N6" s="156"/>
    </row>
    <row r="7" spans="1:15" ht="16">
      <c r="A7">
        <v>65.685000000000002</v>
      </c>
      <c r="E7" s="157" t="s">
        <v>540</v>
      </c>
      <c r="F7" s="192">
        <f>AVERAGE(A2:A401)</f>
        <v>49.252744999999969</v>
      </c>
      <c r="N7" s="156"/>
    </row>
    <row r="8" spans="1:15" ht="16">
      <c r="A8">
        <v>25.864999999999998</v>
      </c>
      <c r="E8" s="157" t="s">
        <v>501</v>
      </c>
      <c r="F8" s="192">
        <f>F11/SQRT(F19)</f>
        <v>1.1803807553683918</v>
      </c>
      <c r="N8" s="156"/>
    </row>
    <row r="9" spans="1:15" ht="16">
      <c r="A9">
        <v>40.753999999999998</v>
      </c>
      <c r="E9" s="157" t="s">
        <v>537</v>
      </c>
      <c r="F9" s="144">
        <f>MEDIAN(A2:A401)</f>
        <v>47.622</v>
      </c>
      <c r="N9" s="156"/>
    </row>
    <row r="10" spans="1:15" ht="16">
      <c r="A10">
        <v>16.122</v>
      </c>
      <c r="E10" s="157" t="s">
        <v>555</v>
      </c>
      <c r="F10" s="192">
        <f>MODE(A2:A401)</f>
        <v>21.079000000000001</v>
      </c>
      <c r="N10" s="156"/>
    </row>
    <row r="11" spans="1:15">
      <c r="A11">
        <v>43.776000000000003</v>
      </c>
      <c r="E11" s="157" t="s">
        <v>567</v>
      </c>
      <c r="F11" s="192">
        <f>_xlfn.STDEV.S(A2:A401)</f>
        <v>23.607615107367838</v>
      </c>
    </row>
    <row r="12" spans="1:15">
      <c r="A12">
        <v>63.607999999999997</v>
      </c>
      <c r="E12" s="157" t="s">
        <v>588</v>
      </c>
      <c r="F12" s="192">
        <f>_xlfn.VAR.S(A2:A401)</f>
        <v>557.31949105762226</v>
      </c>
    </row>
    <row r="13" spans="1:15">
      <c r="A13">
        <v>35.884</v>
      </c>
      <c r="E13" s="157" t="s">
        <v>589</v>
      </c>
      <c r="F13" s="192">
        <f>KURT(A2:A401)</f>
        <v>0.18710352384465212</v>
      </c>
    </row>
    <row r="14" spans="1:15">
      <c r="A14">
        <v>59.942999999999998</v>
      </c>
      <c r="E14" s="157" t="s">
        <v>590</v>
      </c>
      <c r="F14" s="192">
        <f>SKEW(A2:A401)</f>
        <v>0.43613417971554463</v>
      </c>
    </row>
    <row r="15" spans="1:15">
      <c r="A15">
        <v>55.834000000000003</v>
      </c>
      <c r="E15" s="157" t="s">
        <v>539</v>
      </c>
      <c r="F15" s="192">
        <f>F17-F16</f>
        <v>131.94699999999997</v>
      </c>
    </row>
    <row r="16" spans="1:15">
      <c r="A16">
        <v>15.707000000000001</v>
      </c>
      <c r="E16" s="157" t="s">
        <v>544</v>
      </c>
      <c r="F16" s="192">
        <f>MIN(A2:A401)</f>
        <v>5.6929999999999996</v>
      </c>
    </row>
    <row r="17" spans="1:9">
      <c r="A17">
        <v>67.504000000000005</v>
      </c>
      <c r="E17" s="157" t="s">
        <v>538</v>
      </c>
      <c r="F17" s="192">
        <f>MAX(A2:A401)</f>
        <v>137.63999999999999</v>
      </c>
    </row>
    <row r="18" spans="1:9">
      <c r="A18">
        <v>42.305</v>
      </c>
      <c r="E18" s="157" t="s">
        <v>586</v>
      </c>
      <c r="F18" s="192">
        <f>SUM(A2:A401)</f>
        <v>19701.097999999987</v>
      </c>
    </row>
    <row r="19" spans="1:9">
      <c r="A19">
        <v>45.494</v>
      </c>
      <c r="E19" s="157" t="s">
        <v>541</v>
      </c>
      <c r="F19" s="192">
        <f>COUNT(A2:A401)</f>
        <v>400</v>
      </c>
    </row>
    <row r="20" spans="1:9">
      <c r="A20">
        <v>25.003</v>
      </c>
      <c r="F20" s="144"/>
    </row>
    <row r="21" spans="1:9">
      <c r="A21">
        <v>46.646000000000001</v>
      </c>
    </row>
    <row r="22" spans="1:9">
      <c r="A22">
        <v>32.247999999999998</v>
      </c>
      <c r="E22" s="188" t="s">
        <v>629</v>
      </c>
      <c r="F22" s="188"/>
    </row>
    <row r="23" spans="1:9">
      <c r="A23">
        <v>71.543000000000006</v>
      </c>
      <c r="E23" t="s">
        <v>624</v>
      </c>
      <c r="F23" t="s">
        <v>625</v>
      </c>
      <c r="I23" s="146"/>
    </row>
    <row r="24" spans="1:9">
      <c r="A24">
        <v>37.268999999999998</v>
      </c>
      <c r="E24" t="s">
        <v>626</v>
      </c>
      <c r="F24" s="144">
        <f>_xlfn.PERCENTILE.EXC(A2:A401,0.25)</f>
        <v>30.615000000000002</v>
      </c>
      <c r="I24" s="146"/>
    </row>
    <row r="25" spans="1:9">
      <c r="A25">
        <v>34.418999999999997</v>
      </c>
      <c r="E25" t="s">
        <v>627</v>
      </c>
      <c r="F25" s="144">
        <f>_xlfn.PERCENTILE.EXC(A2:A401,0.75)</f>
        <v>66.550749999999994</v>
      </c>
    </row>
    <row r="26" spans="1:9">
      <c r="A26">
        <v>62.975000000000001</v>
      </c>
      <c r="E26" t="s">
        <v>628</v>
      </c>
      <c r="F26" s="144">
        <f>F25-F24</f>
        <v>35.935749999999992</v>
      </c>
    </row>
    <row r="27" spans="1:9">
      <c r="A27">
        <v>51.877000000000002</v>
      </c>
    </row>
    <row r="28" spans="1:9">
      <c r="A28">
        <v>38.255000000000003</v>
      </c>
    </row>
    <row r="29" spans="1:9">
      <c r="A29">
        <v>20.73</v>
      </c>
    </row>
    <row r="30" spans="1:9">
      <c r="A30">
        <v>42.258000000000003</v>
      </c>
    </row>
    <row r="31" spans="1:9">
      <c r="A31">
        <v>66.81</v>
      </c>
    </row>
    <row r="32" spans="1:9" ht="19">
      <c r="A32">
        <v>8.32</v>
      </c>
      <c r="D32" s="191" t="s">
        <v>635</v>
      </c>
      <c r="E32" s="191"/>
      <c r="F32" s="191"/>
      <c r="G32" s="191"/>
      <c r="H32" s="191"/>
    </row>
    <row r="33" spans="1:1">
      <c r="A33">
        <v>76.06</v>
      </c>
    </row>
    <row r="34" spans="1:1">
      <c r="A34">
        <v>69.683000000000007</v>
      </c>
    </row>
    <row r="35" spans="1:1">
      <c r="A35">
        <v>12.763</v>
      </c>
    </row>
    <row r="36" spans="1:1">
      <c r="A36">
        <v>71.554000000000002</v>
      </c>
    </row>
    <row r="37" spans="1:1">
      <c r="A37">
        <v>25.687000000000001</v>
      </c>
    </row>
    <row r="38" spans="1:1">
      <c r="A38">
        <v>79.507999999999996</v>
      </c>
    </row>
    <row r="39" spans="1:1">
      <c r="A39">
        <v>55.863999999999997</v>
      </c>
    </row>
    <row r="40" spans="1:1">
      <c r="A40">
        <v>21.869</v>
      </c>
    </row>
    <row r="41" spans="1:1">
      <c r="A41">
        <v>48.048999999999999</v>
      </c>
    </row>
    <row r="42" spans="1:1">
      <c r="A42">
        <v>56.99</v>
      </c>
    </row>
    <row r="43" spans="1:1">
      <c r="A43">
        <v>56.372999999999998</v>
      </c>
    </row>
    <row r="44" spans="1:1">
      <c r="A44">
        <v>44.795000000000002</v>
      </c>
    </row>
    <row r="45" spans="1:1">
      <c r="A45">
        <v>22.158000000000001</v>
      </c>
    </row>
    <row r="46" spans="1:1">
      <c r="A46">
        <v>59.811999999999998</v>
      </c>
    </row>
    <row r="47" spans="1:1">
      <c r="A47">
        <v>28.178000000000001</v>
      </c>
    </row>
    <row r="48" spans="1:1">
      <c r="A48">
        <v>30.478000000000002</v>
      </c>
    </row>
    <row r="49" spans="1:6">
      <c r="A49">
        <v>33.076000000000001</v>
      </c>
    </row>
    <row r="50" spans="1:6">
      <c r="A50">
        <v>38.529000000000003</v>
      </c>
    </row>
    <row r="51" spans="1:6">
      <c r="A51">
        <v>25.236000000000001</v>
      </c>
    </row>
    <row r="52" spans="1:6">
      <c r="A52">
        <v>43.134</v>
      </c>
    </row>
    <row r="53" spans="1:6">
      <c r="A53">
        <v>40.027999999999999</v>
      </c>
    </row>
    <row r="54" spans="1:6">
      <c r="A54">
        <v>18.603000000000002</v>
      </c>
    </row>
    <row r="55" spans="1:6">
      <c r="A55">
        <v>29.172999999999998</v>
      </c>
    </row>
    <row r="56" spans="1:6">
      <c r="A56">
        <v>36.603000000000002</v>
      </c>
    </row>
    <row r="57" spans="1:6">
      <c r="A57">
        <v>73.004000000000005</v>
      </c>
    </row>
    <row r="58" spans="1:6">
      <c r="A58">
        <v>56.515000000000001</v>
      </c>
    </row>
    <row r="59" spans="1:6">
      <c r="A59">
        <v>61.512</v>
      </c>
      <c r="C59" s="145"/>
    </row>
    <row r="60" spans="1:6">
      <c r="A60">
        <v>80.498000000000005</v>
      </c>
    </row>
    <row r="61" spans="1:6">
      <c r="A61">
        <v>27.545999999999999</v>
      </c>
      <c r="E61" t="s">
        <v>599</v>
      </c>
      <c r="F61" t="s">
        <v>559</v>
      </c>
    </row>
    <row r="62" spans="1:6">
      <c r="A62">
        <v>69.968000000000004</v>
      </c>
      <c r="E62" s="206" t="s">
        <v>539</v>
      </c>
      <c r="F62" s="207">
        <f>F15</f>
        <v>131.94699999999997</v>
      </c>
    </row>
    <row r="63" spans="1:6">
      <c r="A63">
        <v>79.772000000000006</v>
      </c>
      <c r="E63" s="154" t="s">
        <v>542</v>
      </c>
      <c r="F63" s="155">
        <v>6</v>
      </c>
    </row>
    <row r="64" spans="1:6">
      <c r="A64">
        <v>25.855</v>
      </c>
      <c r="E64" s="208" t="s">
        <v>543</v>
      </c>
      <c r="F64" s="209">
        <f>F62/F63</f>
        <v>21.991166666666661</v>
      </c>
    </row>
    <row r="65" spans="1:8">
      <c r="A65">
        <v>19.073</v>
      </c>
    </row>
    <row r="66" spans="1:8">
      <c r="A66">
        <v>26.183</v>
      </c>
    </row>
    <row r="67" spans="1:8" ht="16" thickBot="1">
      <c r="A67">
        <v>13.362</v>
      </c>
      <c r="D67" t="s">
        <v>545</v>
      </c>
      <c r="E67" s="214" t="s">
        <v>600</v>
      </c>
      <c r="F67" t="s">
        <v>546</v>
      </c>
      <c r="G67" t="s">
        <v>547</v>
      </c>
    </row>
    <row r="68" spans="1:8" ht="17" thickTop="1">
      <c r="A68">
        <v>68.884</v>
      </c>
      <c r="D68" s="210">
        <v>1</v>
      </c>
      <c r="E68" s="211" t="s">
        <v>548</v>
      </c>
      <c r="F68" s="210">
        <v>22</v>
      </c>
      <c r="G68" s="210">
        <f>COUNTIFS('Customer Data Set'!$H:$H,"&lt;="&amp;'Q1(a)'!F68)</f>
        <v>52</v>
      </c>
    </row>
    <row r="69" spans="1:8" ht="16">
      <c r="A69">
        <v>9.5280000000000005</v>
      </c>
      <c r="D69">
        <v>2</v>
      </c>
      <c r="E69" s="213" t="s">
        <v>549</v>
      </c>
      <c r="F69">
        <v>44</v>
      </c>
      <c r="G69">
        <f>COUNTIFS('Customer Data Set'!$H:$H,"&lt;="&amp;'Q1(a)'!F69)-COUNTIFS('Customer Data Set'!$H:$H,"&lt;="&amp;'Q1(a)'!F68)</f>
        <v>121</v>
      </c>
    </row>
    <row r="70" spans="1:8" ht="16">
      <c r="A70">
        <v>88.766999999999996</v>
      </c>
      <c r="D70" s="210">
        <v>3</v>
      </c>
      <c r="E70" s="211" t="s">
        <v>550</v>
      </c>
      <c r="F70" s="210">
        <v>66</v>
      </c>
      <c r="G70" s="210">
        <f>COUNTIFS('Customer Data Set'!$H:$H,"&lt;="&amp;'Q1(a)'!F70)-COUNTIFS('Customer Data Set'!$H:$H,"&lt;="&amp;'Q1(a)'!F69)</f>
        <v>124</v>
      </c>
    </row>
    <row r="71" spans="1:8" ht="16">
      <c r="A71">
        <v>68.938000000000002</v>
      </c>
      <c r="D71">
        <v>4</v>
      </c>
      <c r="E71" s="213" t="s">
        <v>551</v>
      </c>
      <c r="F71">
        <v>88</v>
      </c>
      <c r="G71">
        <f>COUNTIFS('Customer Data Set'!$H:$H,"&lt;="&amp;'Q1(a)'!F71)-COUNTIFS('Customer Data Set'!$H:$H,"&lt;="&amp;'Q1(a)'!F70)</f>
        <v>85</v>
      </c>
    </row>
    <row r="72" spans="1:8" ht="16">
      <c r="A72">
        <v>35.783000000000001</v>
      </c>
      <c r="D72" s="210">
        <v>5</v>
      </c>
      <c r="E72" s="211" t="s">
        <v>552</v>
      </c>
      <c r="F72" s="210">
        <v>110</v>
      </c>
      <c r="G72" s="210">
        <f>COUNTIFS('Customer Data Set'!$H:$H,"&lt;="&amp;'Q1(a)'!F72)-COUNTIFS('Customer Data Set'!$H:$H,"&lt;="&amp;'Q1(a)'!F71)</f>
        <v>14</v>
      </c>
    </row>
    <row r="73" spans="1:8" ht="16">
      <c r="A73">
        <v>68.212000000000003</v>
      </c>
      <c r="D73">
        <v>6</v>
      </c>
      <c r="E73" s="213" t="s">
        <v>553</v>
      </c>
      <c r="F73">
        <v>132</v>
      </c>
      <c r="G73">
        <f>COUNTIFS('Customer Data Set'!$H:$H,"&lt;="&amp;'Q1(a)'!F73)-COUNTIFS('Customer Data Set'!$H:$H,"&lt;="&amp;'Q1(a)'!F72)</f>
        <v>2</v>
      </c>
    </row>
    <row r="74" spans="1:8" ht="16">
      <c r="A74">
        <v>55.284999999999997</v>
      </c>
      <c r="D74" s="210">
        <v>7</v>
      </c>
      <c r="E74" s="212" t="s">
        <v>554</v>
      </c>
      <c r="F74" s="210">
        <v>154</v>
      </c>
      <c r="G74" s="210">
        <f>COUNTIFS('Customer Data Set'!$H:$H,"&lt;="&amp;'Q1(a)'!F74)-COUNTIFS('Customer Data Set'!$H:$H,"&lt;="&amp;'Q1(a)'!F73)</f>
        <v>2</v>
      </c>
    </row>
    <row r="75" spans="1:8">
      <c r="A75">
        <v>32.976999999999997</v>
      </c>
    </row>
    <row r="76" spans="1:8">
      <c r="A76">
        <v>44.139000000000003</v>
      </c>
    </row>
    <row r="77" spans="1:8" ht="19">
      <c r="A77">
        <v>24.19</v>
      </c>
      <c r="D77" s="191" t="s">
        <v>636</v>
      </c>
      <c r="E77" s="191"/>
      <c r="F77" s="191"/>
      <c r="G77" s="191"/>
      <c r="H77" s="191"/>
    </row>
    <row r="78" spans="1:8">
      <c r="A78">
        <v>11.8</v>
      </c>
    </row>
    <row r="79" spans="1:8">
      <c r="A79">
        <v>41.859000000000002</v>
      </c>
    </row>
    <row r="80" spans="1:8">
      <c r="A80">
        <v>35.222999999999999</v>
      </c>
    </row>
    <row r="81" spans="1:1">
      <c r="A81">
        <v>58.381</v>
      </c>
    </row>
    <row r="82" spans="1:1">
      <c r="A82">
        <v>33.25</v>
      </c>
    </row>
    <row r="83" spans="1:1">
      <c r="A83">
        <v>70.576999999999998</v>
      </c>
    </row>
    <row r="84" spans="1:1">
      <c r="A84">
        <v>37.936999999999998</v>
      </c>
    </row>
    <row r="85" spans="1:1">
      <c r="A85">
        <v>83.709000000000003</v>
      </c>
    </row>
    <row r="86" spans="1:1">
      <c r="A86">
        <v>54.889000000000003</v>
      </c>
    </row>
    <row r="87" spans="1:1">
      <c r="A87">
        <v>59.725999999999999</v>
      </c>
    </row>
    <row r="88" spans="1:1">
      <c r="A88">
        <v>32.404000000000003</v>
      </c>
    </row>
    <row r="89" spans="1:1">
      <c r="A89">
        <v>67.697000000000003</v>
      </c>
    </row>
    <row r="90" spans="1:1">
      <c r="A90">
        <v>73.944999999999993</v>
      </c>
    </row>
    <row r="91" spans="1:1">
      <c r="A91">
        <v>43.927999999999997</v>
      </c>
    </row>
    <row r="92" spans="1:1">
      <c r="A92">
        <v>61.006</v>
      </c>
    </row>
    <row r="93" spans="1:1">
      <c r="A93">
        <v>35.479999999999997</v>
      </c>
    </row>
    <row r="94" spans="1:1">
      <c r="A94">
        <v>68.980999999999995</v>
      </c>
    </row>
    <row r="95" spans="1:1">
      <c r="A95">
        <v>43.146000000000001</v>
      </c>
    </row>
    <row r="96" spans="1:1">
      <c r="A96">
        <v>78.716999999999999</v>
      </c>
    </row>
    <row r="97" spans="1:6">
      <c r="A97">
        <v>25.960999999999999</v>
      </c>
    </row>
    <row r="98" spans="1:6">
      <c r="A98">
        <v>84.213999999999999</v>
      </c>
    </row>
    <row r="99" spans="1:6">
      <c r="A99">
        <v>44.106999999999999</v>
      </c>
    </row>
    <row r="100" spans="1:6">
      <c r="A100">
        <v>66.272000000000006</v>
      </c>
    </row>
    <row r="101" spans="1:6">
      <c r="A101">
        <v>61.655999999999999</v>
      </c>
    </row>
    <row r="102" spans="1:6">
      <c r="A102">
        <v>62.750999999999998</v>
      </c>
    </row>
    <row r="103" spans="1:6">
      <c r="A103">
        <v>67.902000000000001</v>
      </c>
    </row>
    <row r="104" spans="1:6">
      <c r="A104">
        <v>26.847999999999999</v>
      </c>
    </row>
    <row r="105" spans="1:6">
      <c r="A105">
        <v>70.77</v>
      </c>
    </row>
    <row r="106" spans="1:6">
      <c r="A106">
        <v>60.732999999999997</v>
      </c>
    </row>
    <row r="107" spans="1:6">
      <c r="A107">
        <v>40.055</v>
      </c>
    </row>
    <row r="108" spans="1:6" ht="21">
      <c r="A108">
        <v>105.56</v>
      </c>
      <c r="F108" s="219"/>
    </row>
    <row r="109" spans="1:6">
      <c r="A109">
        <v>76.233000000000004</v>
      </c>
      <c r="F109" s="220"/>
    </row>
    <row r="110" spans="1:6">
      <c r="A110">
        <v>66.096999999999994</v>
      </c>
      <c r="F110" s="220"/>
    </row>
    <row r="111" spans="1:6">
      <c r="A111">
        <v>23.646000000000001</v>
      </c>
    </row>
    <row r="112" spans="1:6">
      <c r="A112">
        <v>27.632999999999999</v>
      </c>
    </row>
    <row r="113" spans="1:1">
      <c r="A113">
        <v>83.396000000000001</v>
      </c>
    </row>
    <row r="114" spans="1:1">
      <c r="A114">
        <v>56.95</v>
      </c>
    </row>
    <row r="115" spans="1:1">
      <c r="A115">
        <v>25.79</v>
      </c>
    </row>
    <row r="116" spans="1:1">
      <c r="A116">
        <v>27.190999999999999</v>
      </c>
    </row>
    <row r="117" spans="1:1">
      <c r="A117">
        <v>60.615000000000002</v>
      </c>
    </row>
    <row r="118" spans="1:1">
      <c r="A118">
        <v>16.399999999999999</v>
      </c>
    </row>
    <row r="119" spans="1:1">
      <c r="A119">
        <v>64.406000000000006</v>
      </c>
    </row>
    <row r="120" spans="1:1">
      <c r="A120">
        <v>79.677999999999997</v>
      </c>
    </row>
    <row r="121" spans="1:1">
      <c r="A121">
        <v>74.650999999999996</v>
      </c>
    </row>
    <row r="122" spans="1:1">
      <c r="A122">
        <v>86.753</v>
      </c>
    </row>
    <row r="123" spans="1:1">
      <c r="A123">
        <v>31.524999999999999</v>
      </c>
    </row>
    <row r="124" spans="1:1">
      <c r="A124">
        <v>34.079000000000001</v>
      </c>
    </row>
    <row r="125" spans="1:1">
      <c r="A125">
        <v>9.74</v>
      </c>
    </row>
    <row r="126" spans="1:1">
      <c r="A126">
        <v>55.662999999999997</v>
      </c>
    </row>
    <row r="127" spans="1:1">
      <c r="A127">
        <v>58.087000000000003</v>
      </c>
    </row>
    <row r="128" spans="1:1">
      <c r="A128">
        <v>45.101999999999997</v>
      </c>
    </row>
    <row r="129" spans="1:1">
      <c r="A129">
        <v>54.357999999999997</v>
      </c>
    </row>
    <row r="130" spans="1:1">
      <c r="A130">
        <v>72.251999999999995</v>
      </c>
    </row>
    <row r="131" spans="1:1">
      <c r="A131">
        <v>16.61</v>
      </c>
    </row>
    <row r="132" spans="1:1">
      <c r="A132">
        <v>21.760999999999999</v>
      </c>
    </row>
    <row r="133" spans="1:1">
      <c r="A133">
        <v>79.548000000000002</v>
      </c>
    </row>
    <row r="134" spans="1:1">
      <c r="A134">
        <v>29.475999999999999</v>
      </c>
    </row>
    <row r="135" spans="1:1">
      <c r="A135">
        <v>16.651</v>
      </c>
    </row>
    <row r="136" spans="1:1">
      <c r="A136">
        <v>39.646999999999998</v>
      </c>
    </row>
    <row r="137" spans="1:1">
      <c r="A137">
        <v>69.522999999999996</v>
      </c>
    </row>
    <row r="138" spans="1:1">
      <c r="A138">
        <v>76.668000000000006</v>
      </c>
    </row>
    <row r="139" spans="1:1">
      <c r="A139">
        <v>137.63999999999999</v>
      </c>
    </row>
    <row r="140" spans="1:1">
      <c r="A140">
        <v>63.89</v>
      </c>
    </row>
    <row r="141" spans="1:1">
      <c r="A141">
        <v>72.155000000000001</v>
      </c>
    </row>
    <row r="142" spans="1:1">
      <c r="A142">
        <v>30.177</v>
      </c>
    </row>
    <row r="143" spans="1:1">
      <c r="A143">
        <v>49.253</v>
      </c>
    </row>
    <row r="144" spans="1:1">
      <c r="A144">
        <v>85.275999999999996</v>
      </c>
    </row>
    <row r="145" spans="1:1">
      <c r="A145">
        <v>45.779000000000003</v>
      </c>
    </row>
    <row r="146" spans="1:1">
      <c r="A146">
        <v>56.048000000000002</v>
      </c>
    </row>
    <row r="147" spans="1:1">
      <c r="A147">
        <v>40.249000000000002</v>
      </c>
    </row>
    <row r="148" spans="1:1">
      <c r="A148">
        <v>88.394000000000005</v>
      </c>
    </row>
    <row r="149" spans="1:1">
      <c r="A149">
        <v>49.506</v>
      </c>
    </row>
    <row r="150" spans="1:1">
      <c r="A150">
        <v>62.095999999999997</v>
      </c>
    </row>
    <row r="151" spans="1:1">
      <c r="A151">
        <v>92.180999999999997</v>
      </c>
    </row>
    <row r="152" spans="1:1">
      <c r="A152">
        <v>45.167000000000002</v>
      </c>
    </row>
    <row r="153" spans="1:1">
      <c r="A153">
        <v>86.382999999999996</v>
      </c>
    </row>
    <row r="154" spans="1:1">
      <c r="A154">
        <v>29.419</v>
      </c>
    </row>
    <row r="155" spans="1:1">
      <c r="A155">
        <v>70.506</v>
      </c>
    </row>
    <row r="156" spans="1:1">
      <c r="A156">
        <v>93.763999999999996</v>
      </c>
    </row>
    <row r="157" spans="1:1">
      <c r="A157">
        <v>6.0190000000000001</v>
      </c>
    </row>
    <row r="158" spans="1:1">
      <c r="A158">
        <v>87.414000000000001</v>
      </c>
    </row>
    <row r="159" spans="1:1">
      <c r="A159">
        <v>61.896000000000001</v>
      </c>
    </row>
    <row r="160" spans="1:1">
      <c r="A160">
        <v>80.953999999999994</v>
      </c>
    </row>
    <row r="161" spans="1:1">
      <c r="A161">
        <v>41.207999999999998</v>
      </c>
    </row>
    <row r="162" spans="1:1">
      <c r="A162">
        <v>18.265000000000001</v>
      </c>
    </row>
    <row r="163" spans="1:1">
      <c r="A163">
        <v>55.404000000000003</v>
      </c>
    </row>
    <row r="164" spans="1:1">
      <c r="A164">
        <v>61.651000000000003</v>
      </c>
    </row>
    <row r="165" spans="1:1">
      <c r="A165">
        <v>83.631</v>
      </c>
    </row>
    <row r="166" spans="1:1">
      <c r="A166">
        <v>134.34700000000001</v>
      </c>
    </row>
    <row r="167" spans="1:1">
      <c r="A167">
        <v>26.457999999999998</v>
      </c>
    </row>
    <row r="168" spans="1:1">
      <c r="A168">
        <v>61.62</v>
      </c>
    </row>
    <row r="169" spans="1:1">
      <c r="A169">
        <v>26.295999999999999</v>
      </c>
    </row>
    <row r="170" spans="1:1">
      <c r="A170">
        <v>39.817</v>
      </c>
    </row>
    <row r="171" spans="1:1">
      <c r="A171">
        <v>88.3</v>
      </c>
    </row>
    <row r="172" spans="1:1">
      <c r="A172">
        <v>78.733000000000004</v>
      </c>
    </row>
    <row r="173" spans="1:1">
      <c r="A173">
        <v>28.933</v>
      </c>
    </row>
    <row r="174" spans="1:1">
      <c r="A174">
        <v>73.225999999999999</v>
      </c>
    </row>
    <row r="175" spans="1:1">
      <c r="A175">
        <v>49.207000000000001</v>
      </c>
    </row>
    <row r="176" spans="1:1">
      <c r="A176">
        <v>31.866</v>
      </c>
    </row>
    <row r="177" spans="1:1">
      <c r="A177">
        <v>7.6269999999999998</v>
      </c>
    </row>
    <row r="178" spans="1:1">
      <c r="A178">
        <v>5.6929999999999996</v>
      </c>
    </row>
    <row r="179" spans="1:1">
      <c r="A179">
        <v>45.558999999999997</v>
      </c>
    </row>
    <row r="180" spans="1:1">
      <c r="A180">
        <v>40.588000000000001</v>
      </c>
    </row>
    <row r="181" spans="1:1">
      <c r="A181">
        <v>74.736000000000004</v>
      </c>
    </row>
    <row r="182" spans="1:1">
      <c r="A182">
        <v>42.247999999999998</v>
      </c>
    </row>
    <row r="183" spans="1:1">
      <c r="A183">
        <v>44.661999999999999</v>
      </c>
    </row>
    <row r="184" spans="1:1">
      <c r="A184">
        <v>45.543999999999997</v>
      </c>
    </row>
    <row r="185" spans="1:1">
      <c r="A185">
        <v>16.702999999999999</v>
      </c>
    </row>
    <row r="186" spans="1:1">
      <c r="A186">
        <v>31.026</v>
      </c>
    </row>
    <row r="187" spans="1:1">
      <c r="A187">
        <v>75.802000000000007</v>
      </c>
    </row>
    <row r="188" spans="1:1">
      <c r="A188">
        <v>56.418999999999997</v>
      </c>
    </row>
    <row r="189" spans="1:1">
      <c r="A189">
        <v>85.94</v>
      </c>
    </row>
    <row r="190" spans="1:1">
      <c r="A190">
        <v>11.473000000000001</v>
      </c>
    </row>
    <row r="191" spans="1:1">
      <c r="A191">
        <v>53.555999999999997</v>
      </c>
    </row>
    <row r="192" spans="1:1">
      <c r="A192">
        <v>32.177</v>
      </c>
    </row>
    <row r="193" spans="1:1">
      <c r="A193">
        <v>21.138000000000002</v>
      </c>
    </row>
    <row r="194" spans="1:1">
      <c r="A194">
        <v>15.818</v>
      </c>
    </row>
    <row r="195" spans="1:1">
      <c r="A195">
        <v>22.971</v>
      </c>
    </row>
    <row r="196" spans="1:1">
      <c r="A196">
        <v>84.477999999999994</v>
      </c>
    </row>
    <row r="197" spans="1:1">
      <c r="A197">
        <v>21.079000000000001</v>
      </c>
    </row>
    <row r="198" spans="1:1">
      <c r="A198">
        <v>46.56</v>
      </c>
    </row>
    <row r="199" spans="1:1">
      <c r="A199">
        <v>74.834000000000003</v>
      </c>
    </row>
    <row r="200" spans="1:1">
      <c r="A200">
        <v>70.63</v>
      </c>
    </row>
    <row r="201" spans="1:1">
      <c r="A201">
        <v>7.8840000000000003</v>
      </c>
    </row>
    <row r="202" spans="1:1">
      <c r="A202">
        <v>58.735999999999997</v>
      </c>
    </row>
    <row r="203" spans="1:1">
      <c r="A203">
        <v>44.814999999999998</v>
      </c>
    </row>
    <row r="204" spans="1:1">
      <c r="A204">
        <v>52.963999999999999</v>
      </c>
    </row>
    <row r="205" spans="1:1">
      <c r="A205">
        <v>47.540999999999997</v>
      </c>
    </row>
    <row r="206" spans="1:1">
      <c r="A206">
        <v>75.210999999999999</v>
      </c>
    </row>
    <row r="207" spans="1:1">
      <c r="A207">
        <v>64.042000000000002</v>
      </c>
    </row>
    <row r="208" spans="1:1">
      <c r="A208">
        <v>54.698</v>
      </c>
    </row>
    <row r="209" spans="1:1">
      <c r="A209">
        <v>58.173000000000002</v>
      </c>
    </row>
    <row r="210" spans="1:1">
      <c r="A210">
        <v>75.878</v>
      </c>
    </row>
    <row r="211" spans="1:1">
      <c r="A211">
        <v>34.79</v>
      </c>
    </row>
    <row r="212" spans="1:1">
      <c r="A212">
        <v>50.582999999999998</v>
      </c>
    </row>
    <row r="213" spans="1:1">
      <c r="A213">
        <v>32.595999999999997</v>
      </c>
    </row>
    <row r="214" spans="1:1">
      <c r="A214">
        <v>61.811999999999998</v>
      </c>
    </row>
    <row r="215" spans="1:1">
      <c r="A215">
        <v>50.414000000000001</v>
      </c>
    </row>
    <row r="216" spans="1:1">
      <c r="A216">
        <v>46.179000000000002</v>
      </c>
    </row>
    <row r="217" spans="1:1">
      <c r="A217">
        <v>41.563000000000002</v>
      </c>
    </row>
    <row r="218" spans="1:1">
      <c r="A218">
        <v>90.54</v>
      </c>
    </row>
    <row r="219" spans="1:1">
      <c r="A219">
        <v>93.213999999999999</v>
      </c>
    </row>
    <row r="220" spans="1:1">
      <c r="A220">
        <v>68.881</v>
      </c>
    </row>
    <row r="221" spans="1:1">
      <c r="A221">
        <v>22.989000000000001</v>
      </c>
    </row>
    <row r="222" spans="1:1">
      <c r="A222">
        <v>59.466999999999999</v>
      </c>
    </row>
    <row r="223" spans="1:1">
      <c r="A223">
        <v>82.37</v>
      </c>
    </row>
    <row r="224" spans="1:1">
      <c r="A224">
        <v>69.116</v>
      </c>
    </row>
    <row r="225" spans="1:1">
      <c r="A225">
        <v>66.632999999999996</v>
      </c>
    </row>
    <row r="226" spans="1:1">
      <c r="A226">
        <v>19.917000000000002</v>
      </c>
    </row>
    <row r="227" spans="1:1">
      <c r="A227">
        <v>34.683999999999997</v>
      </c>
    </row>
    <row r="228" spans="1:1">
      <c r="A228">
        <v>29.614000000000001</v>
      </c>
    </row>
    <row r="229" spans="1:1">
      <c r="A229">
        <v>17.690999999999999</v>
      </c>
    </row>
    <row r="230" spans="1:1">
      <c r="A230">
        <v>8.702</v>
      </c>
    </row>
    <row r="231" spans="1:1">
      <c r="A231">
        <v>53.198</v>
      </c>
    </row>
    <row r="232" spans="1:1">
      <c r="A232">
        <v>59.451999999999998</v>
      </c>
    </row>
    <row r="233" spans="1:1">
      <c r="A233">
        <v>37.430999999999997</v>
      </c>
    </row>
    <row r="234" spans="1:1">
      <c r="A234">
        <v>48.484999999999999</v>
      </c>
    </row>
    <row r="235" spans="1:1">
      <c r="A235">
        <v>48.764000000000003</v>
      </c>
    </row>
    <row r="236" spans="1:1">
      <c r="A236">
        <v>77.566999999999993</v>
      </c>
    </row>
    <row r="237" spans="1:1">
      <c r="A237">
        <v>88.251000000000005</v>
      </c>
    </row>
    <row r="238" spans="1:1">
      <c r="A238">
        <v>29.036999999999999</v>
      </c>
    </row>
    <row r="239" spans="1:1">
      <c r="A239">
        <v>41.875999999999998</v>
      </c>
    </row>
    <row r="240" spans="1:1">
      <c r="A240">
        <v>43.820999999999998</v>
      </c>
    </row>
    <row r="241" spans="1:1">
      <c r="A241">
        <v>78.427000000000007</v>
      </c>
    </row>
    <row r="242" spans="1:1">
      <c r="A242">
        <v>49.826000000000001</v>
      </c>
    </row>
    <row r="243" spans="1:1">
      <c r="A243">
        <v>83.674999999999997</v>
      </c>
    </row>
    <row r="244" spans="1:1">
      <c r="A244">
        <v>46.741999999999997</v>
      </c>
    </row>
    <row r="245" spans="1:1">
      <c r="A245">
        <v>77.100999999999999</v>
      </c>
    </row>
    <row r="246" spans="1:1">
      <c r="A246">
        <v>51.88</v>
      </c>
    </row>
    <row r="247" spans="1:1">
      <c r="A247">
        <v>81.266000000000005</v>
      </c>
    </row>
    <row r="248" spans="1:1">
      <c r="A248">
        <v>31.344999999999999</v>
      </c>
    </row>
    <row r="249" spans="1:1">
      <c r="A249">
        <v>81.611000000000004</v>
      </c>
    </row>
    <row r="250" spans="1:1">
      <c r="A250">
        <v>49.843000000000004</v>
      </c>
    </row>
    <row r="251" spans="1:1">
      <c r="A251">
        <v>19.718</v>
      </c>
    </row>
    <row r="252" spans="1:1">
      <c r="A252">
        <v>27.7</v>
      </c>
    </row>
    <row r="253" spans="1:1">
      <c r="A253">
        <v>45.447000000000003</v>
      </c>
    </row>
    <row r="254" spans="1:1">
      <c r="A254">
        <v>62.951999999999998</v>
      </c>
    </row>
    <row r="255" spans="1:1">
      <c r="A255">
        <v>39.926000000000002</v>
      </c>
    </row>
    <row r="256" spans="1:1">
      <c r="A256">
        <v>26.83</v>
      </c>
    </row>
    <row r="257" spans="1:1">
      <c r="A257">
        <v>47.259</v>
      </c>
    </row>
    <row r="258" spans="1:1">
      <c r="A258">
        <v>63.597999999999999</v>
      </c>
    </row>
    <row r="259" spans="1:1">
      <c r="A259">
        <v>61.579000000000001</v>
      </c>
    </row>
    <row r="260" spans="1:1">
      <c r="A260">
        <v>78.978999999999999</v>
      </c>
    </row>
    <row r="261" spans="1:1">
      <c r="A261">
        <v>78.134</v>
      </c>
    </row>
    <row r="262" spans="1:1">
      <c r="A262">
        <v>14.388999999999999</v>
      </c>
    </row>
    <row r="263" spans="1:1">
      <c r="A263">
        <v>34.430999999999997</v>
      </c>
    </row>
    <row r="264" spans="1:1">
      <c r="A264">
        <v>73.447000000000003</v>
      </c>
    </row>
    <row r="265" spans="1:1">
      <c r="A265">
        <v>108.227</v>
      </c>
    </row>
    <row r="266" spans="1:1">
      <c r="A266">
        <v>68.197999999999993</v>
      </c>
    </row>
    <row r="267" spans="1:1">
      <c r="A267">
        <v>48.252000000000002</v>
      </c>
    </row>
    <row r="268" spans="1:1">
      <c r="A268">
        <v>67.492999999999995</v>
      </c>
    </row>
    <row r="269" spans="1:1">
      <c r="A269">
        <v>8.6549999999999994</v>
      </c>
    </row>
    <row r="270" spans="1:1">
      <c r="A270">
        <v>122.913</v>
      </c>
    </row>
    <row r="271" spans="1:1">
      <c r="A271">
        <v>81.756</v>
      </c>
    </row>
    <row r="272" spans="1:1">
      <c r="A272">
        <v>76.995999999999995</v>
      </c>
    </row>
    <row r="273" spans="1:1">
      <c r="A273">
        <v>40.551000000000002</v>
      </c>
    </row>
    <row r="274" spans="1:1">
      <c r="A274">
        <v>56.929000000000002</v>
      </c>
    </row>
    <row r="275" spans="1:1">
      <c r="A275">
        <v>58.874000000000002</v>
      </c>
    </row>
    <row r="276" spans="1:1">
      <c r="A276">
        <v>10.159000000000001</v>
      </c>
    </row>
    <row r="277" spans="1:1">
      <c r="A277">
        <v>37.042999999999999</v>
      </c>
    </row>
    <row r="278" spans="1:1">
      <c r="A278">
        <v>53.613</v>
      </c>
    </row>
    <row r="279" spans="1:1">
      <c r="A279">
        <v>46.360999999999997</v>
      </c>
    </row>
    <row r="280" spans="1:1">
      <c r="A280">
        <v>55.649000000000001</v>
      </c>
    </row>
    <row r="281" spans="1:1">
      <c r="A281">
        <v>32.064999999999998</v>
      </c>
    </row>
    <row r="282" spans="1:1">
      <c r="A282">
        <v>8.5210000000000008</v>
      </c>
    </row>
    <row r="283" spans="1:1">
      <c r="A283">
        <v>31.047999999999998</v>
      </c>
    </row>
    <row r="284" spans="1:1">
      <c r="A284">
        <v>15.81</v>
      </c>
    </row>
    <row r="285" spans="1:1">
      <c r="A285">
        <v>52.011000000000003</v>
      </c>
    </row>
    <row r="286" spans="1:1">
      <c r="A286">
        <v>19.332999999999998</v>
      </c>
    </row>
    <row r="287" spans="1:1">
      <c r="A287">
        <v>22.359000000000002</v>
      </c>
    </row>
    <row r="288" spans="1:1">
      <c r="A288">
        <v>23.946000000000002</v>
      </c>
    </row>
    <row r="289" spans="1:1">
      <c r="A289">
        <v>49.584000000000003</v>
      </c>
    </row>
    <row r="290" spans="1:1">
      <c r="A290">
        <v>17.37</v>
      </c>
    </row>
    <row r="291" spans="1:1">
      <c r="A291">
        <v>37.393000000000001</v>
      </c>
    </row>
    <row r="292" spans="1:1">
      <c r="A292">
        <v>79.382000000000005</v>
      </c>
    </row>
    <row r="293" spans="1:1">
      <c r="A293">
        <v>48.103000000000002</v>
      </c>
    </row>
    <row r="294" spans="1:1">
      <c r="A294">
        <v>33.335999999999999</v>
      </c>
    </row>
    <row r="295" spans="1:1">
      <c r="A295">
        <v>80.941000000000003</v>
      </c>
    </row>
    <row r="296" spans="1:1">
      <c r="A296">
        <v>38.837000000000003</v>
      </c>
    </row>
    <row r="297" spans="1:1">
      <c r="A297">
        <v>80.108999999999995</v>
      </c>
    </row>
    <row r="298" spans="1:1">
      <c r="A298">
        <v>84.346000000000004</v>
      </c>
    </row>
    <row r="299" spans="1:1">
      <c r="A299">
        <v>38.698</v>
      </c>
    </row>
    <row r="300" spans="1:1">
      <c r="A300">
        <v>53.28</v>
      </c>
    </row>
    <row r="301" spans="1:1">
      <c r="A301">
        <v>66.981999999999999</v>
      </c>
    </row>
    <row r="302" spans="1:1">
      <c r="A302">
        <v>21.126999999999999</v>
      </c>
    </row>
    <row r="303" spans="1:1">
      <c r="A303">
        <v>21.079000000000001</v>
      </c>
    </row>
    <row r="304" spans="1:1">
      <c r="A304">
        <v>14.46</v>
      </c>
    </row>
    <row r="305" spans="1:1">
      <c r="A305">
        <v>39.276000000000003</v>
      </c>
    </row>
    <row r="306" spans="1:1">
      <c r="A306">
        <v>89.844999999999999</v>
      </c>
    </row>
    <row r="307" spans="1:1">
      <c r="A307">
        <v>75.736000000000004</v>
      </c>
    </row>
    <row r="308" spans="1:1">
      <c r="A308">
        <v>38.142000000000003</v>
      </c>
    </row>
    <row r="309" spans="1:1">
      <c r="A309">
        <v>7.3719999999999999</v>
      </c>
    </row>
    <row r="310" spans="1:1">
      <c r="A310">
        <v>54.445999999999998</v>
      </c>
    </row>
    <row r="311" spans="1:1">
      <c r="A311">
        <v>73.381</v>
      </c>
    </row>
    <row r="312" spans="1:1">
      <c r="A312">
        <v>88.269000000000005</v>
      </c>
    </row>
    <row r="313" spans="1:1">
      <c r="A313">
        <v>52.216000000000001</v>
      </c>
    </row>
    <row r="314" spans="1:1">
      <c r="A314">
        <v>65.174000000000007</v>
      </c>
    </row>
    <row r="315" spans="1:1">
      <c r="A315">
        <v>12.454000000000001</v>
      </c>
    </row>
    <row r="316" spans="1:1">
      <c r="A316">
        <v>30.308</v>
      </c>
    </row>
    <row r="317" spans="1:1">
      <c r="A317">
        <v>21.396000000000001</v>
      </c>
    </row>
    <row r="318" spans="1:1">
      <c r="A318">
        <v>28.696999999999999</v>
      </c>
    </row>
    <row r="319" spans="1:1">
      <c r="A319">
        <v>108.714</v>
      </c>
    </row>
    <row r="320" spans="1:1">
      <c r="A320">
        <v>41.234999999999999</v>
      </c>
    </row>
    <row r="321" spans="1:1">
      <c r="A321">
        <v>54.036999999999999</v>
      </c>
    </row>
    <row r="322" spans="1:1">
      <c r="A322">
        <v>24.859000000000002</v>
      </c>
    </row>
    <row r="323" spans="1:1">
      <c r="A323">
        <v>34.957000000000001</v>
      </c>
    </row>
    <row r="324" spans="1:1">
      <c r="A324">
        <v>70.081000000000003</v>
      </c>
    </row>
    <row r="325" spans="1:1">
      <c r="A325">
        <v>56.091000000000001</v>
      </c>
    </row>
    <row r="326" spans="1:1">
      <c r="A326">
        <v>64.025000000000006</v>
      </c>
    </row>
    <row r="327" spans="1:1">
      <c r="A327">
        <v>22.879000000000001</v>
      </c>
    </row>
    <row r="328" spans="1:1">
      <c r="A328">
        <v>7.2770000000000001</v>
      </c>
    </row>
    <row r="329" spans="1:1">
      <c r="A329">
        <v>56.250999999999998</v>
      </c>
    </row>
    <row r="330" spans="1:1">
      <c r="A330">
        <v>22.423999999999999</v>
      </c>
    </row>
    <row r="331" spans="1:1">
      <c r="A331">
        <v>31.222999999999999</v>
      </c>
    </row>
    <row r="332" spans="1:1">
      <c r="A332">
        <v>67.263999999999996</v>
      </c>
    </row>
    <row r="333" spans="1:1">
      <c r="A333">
        <v>37.622</v>
      </c>
    </row>
    <row r="334" spans="1:1">
      <c r="A334">
        <v>32.847000000000001</v>
      </c>
    </row>
    <row r="335" spans="1:1">
      <c r="A335">
        <v>38.247999999999998</v>
      </c>
    </row>
    <row r="336" spans="1:1">
      <c r="A336">
        <v>20.559000000000001</v>
      </c>
    </row>
    <row r="337" spans="1:1">
      <c r="A337">
        <v>47.703000000000003</v>
      </c>
    </row>
    <row r="338" spans="1:1">
      <c r="A338">
        <v>25.73</v>
      </c>
    </row>
    <row r="339" spans="1:1">
      <c r="A339">
        <v>65.188000000000002</v>
      </c>
    </row>
    <row r="340" spans="1:1">
      <c r="A340">
        <v>69.259</v>
      </c>
    </row>
    <row r="341" spans="1:1">
      <c r="A341">
        <v>21.105</v>
      </c>
    </row>
    <row r="342" spans="1:1">
      <c r="A342">
        <v>83.373000000000005</v>
      </c>
    </row>
    <row r="343" spans="1:1">
      <c r="A343">
        <v>49.087000000000003</v>
      </c>
    </row>
    <row r="344" spans="1:1">
      <c r="A344">
        <v>31.585000000000001</v>
      </c>
    </row>
    <row r="345" spans="1:1">
      <c r="A345">
        <v>8.7080000000000002</v>
      </c>
    </row>
    <row r="346" spans="1:1">
      <c r="A346">
        <v>29.417000000000002</v>
      </c>
    </row>
    <row r="347" spans="1:1">
      <c r="A347">
        <v>63.65</v>
      </c>
    </row>
    <row r="348" spans="1:1">
      <c r="A348">
        <v>37.139000000000003</v>
      </c>
    </row>
    <row r="349" spans="1:1">
      <c r="A349">
        <v>59.518999999999998</v>
      </c>
    </row>
    <row r="350" spans="1:1">
      <c r="A350">
        <v>53.723999999999997</v>
      </c>
    </row>
    <row r="351" spans="1:1">
      <c r="A351">
        <v>36.396000000000001</v>
      </c>
    </row>
    <row r="352" spans="1:1">
      <c r="A352">
        <v>28.404</v>
      </c>
    </row>
    <row r="353" spans="1:1">
      <c r="A353">
        <v>56.265999999999998</v>
      </c>
    </row>
    <row r="354" spans="1:1">
      <c r="A354">
        <v>65.697000000000003</v>
      </c>
    </row>
    <row r="355" spans="1:1">
      <c r="A355">
        <v>56.802999999999997</v>
      </c>
    </row>
    <row r="356" spans="1:1">
      <c r="A356">
        <v>68.638000000000005</v>
      </c>
    </row>
    <row r="357" spans="1:1">
      <c r="A357">
        <v>67.024000000000001</v>
      </c>
    </row>
    <row r="358" spans="1:1">
      <c r="A358">
        <v>23.2</v>
      </c>
    </row>
    <row r="359" spans="1:1">
      <c r="A359">
        <v>49.152999999999999</v>
      </c>
    </row>
    <row r="360" spans="1:1">
      <c r="A360">
        <v>52.996000000000002</v>
      </c>
    </row>
    <row r="361" spans="1:1">
      <c r="A361">
        <v>26.882000000000001</v>
      </c>
    </row>
    <row r="362" spans="1:1">
      <c r="A362">
        <v>52.482999999999997</v>
      </c>
    </row>
    <row r="363" spans="1:1">
      <c r="A363">
        <v>55.899000000000001</v>
      </c>
    </row>
    <row r="364" spans="1:1">
      <c r="A364">
        <v>45.930999999999997</v>
      </c>
    </row>
    <row r="365" spans="1:1">
      <c r="A365">
        <v>44.101999999999997</v>
      </c>
    </row>
    <row r="366" spans="1:1">
      <c r="A366">
        <v>56.399000000000001</v>
      </c>
    </row>
    <row r="367" spans="1:1">
      <c r="A367">
        <v>28.715</v>
      </c>
    </row>
    <row r="368" spans="1:1">
      <c r="A368">
        <v>68.61</v>
      </c>
    </row>
    <row r="369" spans="1:1">
      <c r="A369">
        <v>46.334000000000003</v>
      </c>
    </row>
    <row r="370" spans="1:1">
      <c r="A370">
        <v>52.887</v>
      </c>
    </row>
    <row r="371" spans="1:1">
      <c r="A371">
        <v>60.918999999999997</v>
      </c>
    </row>
    <row r="372" spans="1:1">
      <c r="A372">
        <v>58.548000000000002</v>
      </c>
    </row>
    <row r="373" spans="1:1">
      <c r="A373">
        <v>66.304000000000002</v>
      </c>
    </row>
    <row r="374" spans="1:1">
      <c r="A374">
        <v>50.298000000000002</v>
      </c>
    </row>
    <row r="375" spans="1:1">
      <c r="A375">
        <v>68.683000000000007</v>
      </c>
    </row>
    <row r="376" spans="1:1">
      <c r="A376">
        <v>47.271999999999998</v>
      </c>
    </row>
    <row r="377" spans="1:1">
      <c r="A377">
        <v>22.423999999999999</v>
      </c>
    </row>
    <row r="378" spans="1:1">
      <c r="A378">
        <v>36.564</v>
      </c>
    </row>
    <row r="379" spans="1:1">
      <c r="A379">
        <v>13.78</v>
      </c>
    </row>
    <row r="380" spans="1:1">
      <c r="A380">
        <v>55.085999999999999</v>
      </c>
    </row>
    <row r="381" spans="1:1">
      <c r="A381">
        <v>31.138999999999999</v>
      </c>
    </row>
    <row r="382" spans="1:1">
      <c r="A382">
        <v>60.865000000000002</v>
      </c>
    </row>
    <row r="383" spans="1:1">
      <c r="A383">
        <v>53.237000000000002</v>
      </c>
    </row>
    <row r="384" spans="1:1">
      <c r="A384">
        <v>10.146000000000001</v>
      </c>
    </row>
    <row r="385" spans="1:1">
      <c r="A385">
        <v>42.595999999999997</v>
      </c>
    </row>
    <row r="386" spans="1:1">
      <c r="A386">
        <v>39.588000000000001</v>
      </c>
    </row>
    <row r="387" spans="1:1">
      <c r="A387">
        <v>28.082000000000001</v>
      </c>
    </row>
    <row r="388" spans="1:1">
      <c r="A388">
        <v>47.07</v>
      </c>
    </row>
    <row r="389" spans="1:1">
      <c r="A389">
        <v>47.037999999999997</v>
      </c>
    </row>
    <row r="390" spans="1:1">
      <c r="A390">
        <v>38.031999999999996</v>
      </c>
    </row>
    <row r="391" spans="1:1">
      <c r="A391">
        <v>61.677</v>
      </c>
    </row>
    <row r="392" spans="1:1">
      <c r="A392">
        <v>29.225000000000001</v>
      </c>
    </row>
    <row r="393" spans="1:1">
      <c r="A393">
        <v>53.48</v>
      </c>
    </row>
    <row r="394" spans="1:1">
      <c r="A394">
        <v>36.409999999999997</v>
      </c>
    </row>
    <row r="395" spans="1:1">
      <c r="A395">
        <v>33.863</v>
      </c>
    </row>
    <row r="396" spans="1:1">
      <c r="A396">
        <v>93.712999999999994</v>
      </c>
    </row>
    <row r="397" spans="1:1">
      <c r="A397">
        <v>47.353000000000002</v>
      </c>
    </row>
    <row r="398" spans="1:1">
      <c r="A398">
        <v>19.672999999999998</v>
      </c>
    </row>
    <row r="399" spans="1:1">
      <c r="A399">
        <v>123.724</v>
      </c>
    </row>
    <row r="400" spans="1:1">
      <c r="A400">
        <v>12.815</v>
      </c>
    </row>
    <row r="401" spans="1:1">
      <c r="A401">
        <v>22.757000000000001</v>
      </c>
    </row>
  </sheetData>
  <sortState xmlns:xlrd2="http://schemas.microsoft.com/office/spreadsheetml/2017/richdata2" ref="E67:E73">
    <sortCondition ref="E67"/>
  </sortState>
  <mergeCells count="6">
    <mergeCell ref="E22:F22"/>
    <mergeCell ref="C1:I1"/>
    <mergeCell ref="D32:H32"/>
    <mergeCell ref="D77:H77"/>
    <mergeCell ref="E4:F4"/>
    <mergeCell ref="E5:F5"/>
  </mergeCells>
  <pageMargins left="0.7" right="0.7" top="0.75" bottom="0.75" header="0.3" footer="0.3"/>
  <drawing r:id="rId1"/>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4B1AB-EDEF-E142-B71B-9C7A95A855CE}">
  <dimension ref="A1:M401"/>
  <sheetViews>
    <sheetView topLeftCell="A13" zoomScale="75" zoomScaleNormal="75" workbookViewId="0">
      <selection activeCell="H17" sqref="H17"/>
    </sheetView>
  </sheetViews>
  <sheetFormatPr baseColWidth="10" defaultRowHeight="15"/>
  <cols>
    <col min="1" max="1" width="21.1640625" customWidth="1"/>
    <col min="2" max="2" width="20" customWidth="1"/>
    <col min="3" max="3" width="28.83203125" bestFit="1" customWidth="1"/>
    <col min="4" max="4" width="27.6640625" customWidth="1"/>
    <col min="5" max="5" width="21.5" customWidth="1"/>
    <col min="6" max="6" width="26.1640625" bestFit="1" customWidth="1"/>
    <col min="7" max="7" width="16.6640625" bestFit="1" customWidth="1"/>
    <col min="8" max="8" width="19.83203125" bestFit="1" customWidth="1"/>
    <col min="9" max="9" width="26.6640625" bestFit="1" customWidth="1"/>
    <col min="10" max="10" width="17.5" bestFit="1" customWidth="1"/>
    <col min="11" max="11" width="11.33203125" customWidth="1"/>
    <col min="12" max="12" width="12" customWidth="1"/>
    <col min="13" max="13" width="29.83203125" customWidth="1"/>
    <col min="14" max="14" width="21.33203125" customWidth="1"/>
    <col min="15" max="15" width="5.5" bestFit="1" customWidth="1"/>
    <col min="16" max="16" width="6" bestFit="1" customWidth="1"/>
    <col min="17" max="17" width="9.83203125" bestFit="1" customWidth="1"/>
    <col min="18" max="18" width="6.33203125" bestFit="1" customWidth="1"/>
    <col min="19" max="19" width="10" bestFit="1" customWidth="1"/>
  </cols>
  <sheetData>
    <row r="1" spans="1:13" ht="24" customHeight="1">
      <c r="A1" s="2" t="s">
        <v>8</v>
      </c>
      <c r="C1" s="216" t="s">
        <v>632</v>
      </c>
      <c r="D1" s="216"/>
      <c r="E1" s="216"/>
      <c r="F1" s="216"/>
      <c r="G1" s="216"/>
      <c r="H1" s="216"/>
      <c r="I1" s="216"/>
      <c r="J1" s="216"/>
      <c r="K1" s="216"/>
      <c r="L1" s="216"/>
      <c r="M1" s="216"/>
    </row>
    <row r="2" spans="1:13">
      <c r="A2" t="s">
        <v>434</v>
      </c>
    </row>
    <row r="3" spans="1:13">
      <c r="A3" t="s">
        <v>434</v>
      </c>
    </row>
    <row r="4" spans="1:13" ht="16">
      <c r="A4" t="s">
        <v>435</v>
      </c>
      <c r="F4" s="215" t="s">
        <v>601</v>
      </c>
      <c r="G4" s="215"/>
      <c r="H4" s="215"/>
    </row>
    <row r="5" spans="1:13" ht="16">
      <c r="A5" t="s">
        <v>436</v>
      </c>
      <c r="F5" s="152" t="s">
        <v>556</v>
      </c>
      <c r="G5" s="152" t="s">
        <v>557</v>
      </c>
      <c r="H5" s="152" t="s">
        <v>558</v>
      </c>
    </row>
    <row r="6" spans="1:13" ht="16">
      <c r="A6" t="s">
        <v>435</v>
      </c>
      <c r="F6" s="150" t="s">
        <v>437</v>
      </c>
      <c r="G6" s="152">
        <f>COUNTIF('Customer Data Set'!L:L,'Q1(b)'!F6)</f>
        <v>38</v>
      </c>
      <c r="H6" s="200">
        <f>G6/COUNTA('Customer Data Set'!L:L)</f>
        <v>9.4763092269326679E-2</v>
      </c>
    </row>
    <row r="7" spans="1:13" ht="24">
      <c r="A7" t="s">
        <v>436</v>
      </c>
      <c r="F7" s="150" t="s">
        <v>436</v>
      </c>
      <c r="G7" s="152">
        <f>COUNTIF('Customer Data Set'!L:L,'Q1(b)'!F7)</f>
        <v>110</v>
      </c>
      <c r="H7" s="200">
        <f>G7/COUNTA('Customer Data Set'!L:L)</f>
        <v>0.27431421446384041</v>
      </c>
      <c r="K7" s="149"/>
      <c r="L7" s="149"/>
    </row>
    <row r="8" spans="1:13" ht="16">
      <c r="A8" t="s">
        <v>434</v>
      </c>
      <c r="F8" s="150" t="s">
        <v>434</v>
      </c>
      <c r="G8" s="152">
        <f>COUNTIF('Customer Data Set'!L:L,'Q1(b)'!F8)</f>
        <v>88</v>
      </c>
      <c r="H8" s="200">
        <f>G8/COUNTA('Customer Data Set'!L:L)</f>
        <v>0.21945137157107231</v>
      </c>
    </row>
    <row r="9" spans="1:13" ht="16">
      <c r="A9" t="s">
        <v>436</v>
      </c>
      <c r="F9" s="150" t="s">
        <v>435</v>
      </c>
      <c r="G9" s="152">
        <f>COUNTIF('Customer Data Set'!L:L,'Q1(b)'!F9)</f>
        <v>164</v>
      </c>
      <c r="H9" s="200">
        <f>G9/COUNTA('Customer Data Set'!L:L)</f>
        <v>0.40897755610972569</v>
      </c>
    </row>
    <row r="10" spans="1:13">
      <c r="A10" t="s">
        <v>436</v>
      </c>
    </row>
    <row r="11" spans="1:13">
      <c r="A11" t="s">
        <v>435</v>
      </c>
    </row>
    <row r="12" spans="1:13" ht="16">
      <c r="A12" t="s">
        <v>434</v>
      </c>
      <c r="F12" s="215" t="s">
        <v>630</v>
      </c>
      <c r="G12" s="215"/>
    </row>
    <row r="13" spans="1:13" ht="16">
      <c r="A13" t="s">
        <v>436</v>
      </c>
      <c r="F13" s="152" t="s">
        <v>563</v>
      </c>
      <c r="G13" s="150" t="s">
        <v>559</v>
      </c>
    </row>
    <row r="14" spans="1:13" ht="16">
      <c r="A14" t="s">
        <v>434</v>
      </c>
      <c r="F14" s="152" t="s">
        <v>555</v>
      </c>
      <c r="G14" s="265" t="s">
        <v>435</v>
      </c>
    </row>
    <row r="15" spans="1:13" ht="16">
      <c r="A15" t="s">
        <v>435</v>
      </c>
      <c r="F15" s="152" t="s">
        <v>560</v>
      </c>
      <c r="G15" s="265" t="s">
        <v>561</v>
      </c>
    </row>
    <row r="16" spans="1:13" ht="16">
      <c r="A16" t="s">
        <v>434</v>
      </c>
      <c r="F16" s="152" t="s">
        <v>562</v>
      </c>
      <c r="G16" s="266">
        <v>0.40899999999999997</v>
      </c>
    </row>
    <row r="17" spans="1:9" ht="16">
      <c r="A17" t="s">
        <v>436</v>
      </c>
      <c r="F17" s="152" t="s">
        <v>602</v>
      </c>
      <c r="G17" s="265" t="s">
        <v>603</v>
      </c>
    </row>
    <row r="18" spans="1:9" ht="16">
      <c r="A18" t="s">
        <v>435</v>
      </c>
      <c r="F18" s="152" t="s">
        <v>604</v>
      </c>
      <c r="G18" s="265">
        <v>4</v>
      </c>
    </row>
    <row r="19" spans="1:9">
      <c r="A19" t="s">
        <v>437</v>
      </c>
    </row>
    <row r="20" spans="1:9">
      <c r="A20" t="s">
        <v>437</v>
      </c>
    </row>
    <row r="21" spans="1:9">
      <c r="A21" t="s">
        <v>434</v>
      </c>
    </row>
    <row r="22" spans="1:9">
      <c r="A22" t="s">
        <v>434</v>
      </c>
    </row>
    <row r="23" spans="1:9">
      <c r="A23" t="s">
        <v>434</v>
      </c>
    </row>
    <row r="24" spans="1:9" ht="19">
      <c r="A24" t="s">
        <v>435</v>
      </c>
      <c r="E24" s="217" t="s">
        <v>633</v>
      </c>
      <c r="F24" s="217"/>
      <c r="G24" s="217"/>
      <c r="H24" s="217"/>
      <c r="I24" s="217"/>
    </row>
    <row r="25" spans="1:9">
      <c r="A25" t="s">
        <v>436</v>
      </c>
    </row>
    <row r="26" spans="1:9">
      <c r="A26" t="s">
        <v>434</v>
      </c>
    </row>
    <row r="27" spans="1:9">
      <c r="A27" t="s">
        <v>436</v>
      </c>
    </row>
    <row r="28" spans="1:9">
      <c r="A28" t="s">
        <v>435</v>
      </c>
    </row>
    <row r="29" spans="1:9">
      <c r="A29" t="s">
        <v>436</v>
      </c>
    </row>
    <row r="30" spans="1:9">
      <c r="A30" t="s">
        <v>437</v>
      </c>
    </row>
    <row r="31" spans="1:9">
      <c r="A31" t="s">
        <v>434</v>
      </c>
    </row>
    <row r="32" spans="1:9">
      <c r="A32" t="s">
        <v>435</v>
      </c>
    </row>
    <row r="33" spans="1:1">
      <c r="A33" t="s">
        <v>435</v>
      </c>
    </row>
    <row r="34" spans="1:1">
      <c r="A34" t="s">
        <v>434</v>
      </c>
    </row>
    <row r="35" spans="1:1">
      <c r="A35" t="s">
        <v>434</v>
      </c>
    </row>
    <row r="36" spans="1:1">
      <c r="A36" t="s">
        <v>435</v>
      </c>
    </row>
    <row r="37" spans="1:1">
      <c r="A37" t="s">
        <v>436</v>
      </c>
    </row>
    <row r="38" spans="1:1">
      <c r="A38" t="s">
        <v>436</v>
      </c>
    </row>
    <row r="39" spans="1:1">
      <c r="A39" t="s">
        <v>436</v>
      </c>
    </row>
    <row r="40" spans="1:1">
      <c r="A40" t="s">
        <v>435</v>
      </c>
    </row>
    <row r="41" spans="1:1">
      <c r="A41" t="s">
        <v>437</v>
      </c>
    </row>
    <row r="42" spans="1:1">
      <c r="A42" t="s">
        <v>434</v>
      </c>
    </row>
    <row r="43" spans="1:1">
      <c r="A43" t="s">
        <v>437</v>
      </c>
    </row>
    <row r="44" spans="1:1">
      <c r="A44" t="s">
        <v>437</v>
      </c>
    </row>
    <row r="45" spans="1:1">
      <c r="A45" t="s">
        <v>435</v>
      </c>
    </row>
    <row r="46" spans="1:1">
      <c r="A46" t="s">
        <v>434</v>
      </c>
    </row>
    <row r="47" spans="1:1">
      <c r="A47" t="s">
        <v>435</v>
      </c>
    </row>
    <row r="48" spans="1:1">
      <c r="A48" t="s">
        <v>436</v>
      </c>
    </row>
    <row r="49" spans="1:9">
      <c r="A49" t="s">
        <v>436</v>
      </c>
    </row>
    <row r="50" spans="1:9">
      <c r="A50" t="s">
        <v>436</v>
      </c>
    </row>
    <row r="51" spans="1:9">
      <c r="A51" t="s">
        <v>436</v>
      </c>
    </row>
    <row r="52" spans="1:9">
      <c r="A52" t="s">
        <v>437</v>
      </c>
    </row>
    <row r="53" spans="1:9">
      <c r="A53" t="s">
        <v>436</v>
      </c>
    </row>
    <row r="54" spans="1:9">
      <c r="A54" t="s">
        <v>436</v>
      </c>
    </row>
    <row r="55" spans="1:9">
      <c r="A55" t="s">
        <v>436</v>
      </c>
    </row>
    <row r="56" spans="1:9">
      <c r="A56" t="s">
        <v>434</v>
      </c>
    </row>
    <row r="57" spans="1:9">
      <c r="A57" t="s">
        <v>435</v>
      </c>
    </row>
    <row r="58" spans="1:9">
      <c r="A58" t="s">
        <v>434</v>
      </c>
    </row>
    <row r="59" spans="1:9" ht="19">
      <c r="A59" t="s">
        <v>436</v>
      </c>
      <c r="E59" s="217" t="s">
        <v>634</v>
      </c>
      <c r="F59" s="217"/>
      <c r="G59" s="217"/>
      <c r="H59" s="217"/>
      <c r="I59" s="217"/>
    </row>
    <row r="60" spans="1:9">
      <c r="A60" t="s">
        <v>435</v>
      </c>
    </row>
    <row r="61" spans="1:9">
      <c r="A61" t="s">
        <v>436</v>
      </c>
    </row>
    <row r="62" spans="1:9">
      <c r="A62" t="s">
        <v>435</v>
      </c>
    </row>
    <row r="63" spans="1:9">
      <c r="A63" t="s">
        <v>435</v>
      </c>
    </row>
    <row r="64" spans="1:9">
      <c r="A64" t="s">
        <v>436</v>
      </c>
    </row>
    <row r="65" spans="1:1">
      <c r="A65" t="s">
        <v>435</v>
      </c>
    </row>
    <row r="66" spans="1:1">
      <c r="A66" t="s">
        <v>434</v>
      </c>
    </row>
    <row r="67" spans="1:1">
      <c r="A67" t="s">
        <v>437</v>
      </c>
    </row>
    <row r="68" spans="1:1">
      <c r="A68" t="s">
        <v>434</v>
      </c>
    </row>
    <row r="69" spans="1:1">
      <c r="A69" t="s">
        <v>435</v>
      </c>
    </row>
    <row r="70" spans="1:1">
      <c r="A70" t="s">
        <v>437</v>
      </c>
    </row>
    <row r="71" spans="1:1">
      <c r="A71" t="s">
        <v>435</v>
      </c>
    </row>
    <row r="72" spans="1:1">
      <c r="A72" t="s">
        <v>434</v>
      </c>
    </row>
    <row r="73" spans="1:1">
      <c r="A73" t="s">
        <v>435</v>
      </c>
    </row>
    <row r="74" spans="1:1">
      <c r="A74" t="s">
        <v>434</v>
      </c>
    </row>
    <row r="75" spans="1:1">
      <c r="A75" t="s">
        <v>436</v>
      </c>
    </row>
    <row r="76" spans="1:1">
      <c r="A76" t="s">
        <v>436</v>
      </c>
    </row>
    <row r="77" spans="1:1">
      <c r="A77" t="s">
        <v>435</v>
      </c>
    </row>
    <row r="78" spans="1:1">
      <c r="A78" t="s">
        <v>435</v>
      </c>
    </row>
    <row r="79" spans="1:1">
      <c r="A79" t="s">
        <v>435</v>
      </c>
    </row>
    <row r="80" spans="1:1">
      <c r="A80" t="s">
        <v>435</v>
      </c>
    </row>
    <row r="81" spans="1:1">
      <c r="A81" t="s">
        <v>436</v>
      </c>
    </row>
    <row r="82" spans="1:1">
      <c r="A82" t="s">
        <v>434</v>
      </c>
    </row>
    <row r="83" spans="1:1">
      <c r="A83" t="s">
        <v>435</v>
      </c>
    </row>
    <row r="84" spans="1:1">
      <c r="A84" t="s">
        <v>435</v>
      </c>
    </row>
    <row r="85" spans="1:1">
      <c r="A85" t="s">
        <v>435</v>
      </c>
    </row>
    <row r="86" spans="1:1">
      <c r="A86" t="s">
        <v>436</v>
      </c>
    </row>
    <row r="87" spans="1:1">
      <c r="A87" t="s">
        <v>436</v>
      </c>
    </row>
    <row r="88" spans="1:1">
      <c r="A88" t="s">
        <v>435</v>
      </c>
    </row>
    <row r="89" spans="1:1">
      <c r="A89" t="s">
        <v>435</v>
      </c>
    </row>
    <row r="90" spans="1:1">
      <c r="A90" t="s">
        <v>434</v>
      </c>
    </row>
    <row r="91" spans="1:1">
      <c r="A91" t="s">
        <v>435</v>
      </c>
    </row>
    <row r="92" spans="1:1">
      <c r="A92" t="s">
        <v>435</v>
      </c>
    </row>
    <row r="93" spans="1:1">
      <c r="A93" t="s">
        <v>436</v>
      </c>
    </row>
    <row r="94" spans="1:1">
      <c r="A94" t="s">
        <v>436</v>
      </c>
    </row>
    <row r="95" spans="1:1">
      <c r="A95" t="s">
        <v>434</v>
      </c>
    </row>
    <row r="96" spans="1:1">
      <c r="A96" t="s">
        <v>434</v>
      </c>
    </row>
    <row r="97" spans="1:1">
      <c r="A97" t="s">
        <v>436</v>
      </c>
    </row>
    <row r="98" spans="1:1">
      <c r="A98" t="s">
        <v>435</v>
      </c>
    </row>
    <row r="99" spans="1:1">
      <c r="A99" t="s">
        <v>436</v>
      </c>
    </row>
    <row r="100" spans="1:1">
      <c r="A100" t="s">
        <v>437</v>
      </c>
    </row>
    <row r="101" spans="1:1">
      <c r="A101" t="s">
        <v>435</v>
      </c>
    </row>
    <row r="102" spans="1:1">
      <c r="A102" t="s">
        <v>437</v>
      </c>
    </row>
    <row r="103" spans="1:1">
      <c r="A103" t="s">
        <v>436</v>
      </c>
    </row>
    <row r="104" spans="1:1">
      <c r="A104" t="s">
        <v>435</v>
      </c>
    </row>
    <row r="105" spans="1:1">
      <c r="A105" t="s">
        <v>435</v>
      </c>
    </row>
    <row r="106" spans="1:1">
      <c r="A106" t="s">
        <v>435</v>
      </c>
    </row>
    <row r="107" spans="1:1">
      <c r="A107" t="s">
        <v>435</v>
      </c>
    </row>
    <row r="108" spans="1:1">
      <c r="A108" t="s">
        <v>437</v>
      </c>
    </row>
    <row r="109" spans="1:1">
      <c r="A109" t="s">
        <v>435</v>
      </c>
    </row>
    <row r="110" spans="1:1">
      <c r="A110" t="s">
        <v>435</v>
      </c>
    </row>
    <row r="111" spans="1:1">
      <c r="A111" t="s">
        <v>436</v>
      </c>
    </row>
    <row r="112" spans="1:1">
      <c r="A112" t="s">
        <v>436</v>
      </c>
    </row>
    <row r="113" spans="1:1">
      <c r="A113" t="s">
        <v>434</v>
      </c>
    </row>
    <row r="114" spans="1:1">
      <c r="A114" t="s">
        <v>437</v>
      </c>
    </row>
    <row r="115" spans="1:1">
      <c r="A115" t="s">
        <v>435</v>
      </c>
    </row>
    <row r="116" spans="1:1">
      <c r="A116" t="s">
        <v>436</v>
      </c>
    </row>
    <row r="117" spans="1:1">
      <c r="A117" t="s">
        <v>434</v>
      </c>
    </row>
    <row r="118" spans="1:1">
      <c r="A118" t="s">
        <v>435</v>
      </c>
    </row>
    <row r="119" spans="1:1">
      <c r="A119" t="s">
        <v>436</v>
      </c>
    </row>
    <row r="120" spans="1:1">
      <c r="A120" t="s">
        <v>437</v>
      </c>
    </row>
    <row r="121" spans="1:1">
      <c r="A121" t="s">
        <v>434</v>
      </c>
    </row>
    <row r="122" spans="1:1">
      <c r="A122" t="s">
        <v>435</v>
      </c>
    </row>
    <row r="123" spans="1:1">
      <c r="A123" t="s">
        <v>436</v>
      </c>
    </row>
    <row r="124" spans="1:1">
      <c r="A124" t="s">
        <v>435</v>
      </c>
    </row>
    <row r="125" spans="1:1">
      <c r="A125" t="s">
        <v>436</v>
      </c>
    </row>
    <row r="126" spans="1:1">
      <c r="A126" t="s">
        <v>435</v>
      </c>
    </row>
    <row r="127" spans="1:1">
      <c r="A127" t="s">
        <v>434</v>
      </c>
    </row>
    <row r="128" spans="1:1">
      <c r="A128" t="s">
        <v>435</v>
      </c>
    </row>
    <row r="129" spans="1:1">
      <c r="A129" t="s">
        <v>436</v>
      </c>
    </row>
    <row r="130" spans="1:1">
      <c r="A130" t="s">
        <v>435</v>
      </c>
    </row>
    <row r="131" spans="1:1">
      <c r="A131" t="s">
        <v>435</v>
      </c>
    </row>
    <row r="132" spans="1:1">
      <c r="A132" t="s">
        <v>434</v>
      </c>
    </row>
    <row r="133" spans="1:1">
      <c r="A133" t="s">
        <v>434</v>
      </c>
    </row>
    <row r="134" spans="1:1">
      <c r="A134" t="s">
        <v>435</v>
      </c>
    </row>
    <row r="135" spans="1:1">
      <c r="A135" t="s">
        <v>434</v>
      </c>
    </row>
    <row r="136" spans="1:1">
      <c r="A136" t="s">
        <v>436</v>
      </c>
    </row>
    <row r="137" spans="1:1">
      <c r="A137" t="s">
        <v>437</v>
      </c>
    </row>
    <row r="138" spans="1:1">
      <c r="A138" t="s">
        <v>435</v>
      </c>
    </row>
    <row r="139" spans="1:1">
      <c r="A139" t="s">
        <v>436</v>
      </c>
    </row>
    <row r="140" spans="1:1">
      <c r="A140" t="s">
        <v>435</v>
      </c>
    </row>
    <row r="141" spans="1:1">
      <c r="A141" t="s">
        <v>435</v>
      </c>
    </row>
    <row r="142" spans="1:1">
      <c r="A142" t="s">
        <v>434</v>
      </c>
    </row>
    <row r="143" spans="1:1">
      <c r="A143" t="s">
        <v>435</v>
      </c>
    </row>
    <row r="144" spans="1:1">
      <c r="A144" t="s">
        <v>434</v>
      </c>
    </row>
    <row r="145" spans="1:1">
      <c r="A145" t="s">
        <v>436</v>
      </c>
    </row>
    <row r="146" spans="1:1">
      <c r="A146" t="s">
        <v>437</v>
      </c>
    </row>
    <row r="147" spans="1:1">
      <c r="A147" t="s">
        <v>436</v>
      </c>
    </row>
    <row r="148" spans="1:1">
      <c r="A148" t="s">
        <v>435</v>
      </c>
    </row>
    <row r="149" spans="1:1">
      <c r="A149" t="s">
        <v>434</v>
      </c>
    </row>
    <row r="150" spans="1:1">
      <c r="A150" t="s">
        <v>436</v>
      </c>
    </row>
    <row r="151" spans="1:1">
      <c r="A151" t="s">
        <v>434</v>
      </c>
    </row>
    <row r="152" spans="1:1">
      <c r="A152" t="s">
        <v>435</v>
      </c>
    </row>
    <row r="153" spans="1:1">
      <c r="A153" t="s">
        <v>437</v>
      </c>
    </row>
    <row r="154" spans="1:1">
      <c r="A154" t="s">
        <v>436</v>
      </c>
    </row>
    <row r="155" spans="1:1">
      <c r="A155" t="s">
        <v>435</v>
      </c>
    </row>
    <row r="156" spans="1:1">
      <c r="A156" t="s">
        <v>435</v>
      </c>
    </row>
    <row r="157" spans="1:1">
      <c r="A157" t="s">
        <v>434</v>
      </c>
    </row>
    <row r="158" spans="1:1">
      <c r="A158" t="s">
        <v>435</v>
      </c>
    </row>
    <row r="159" spans="1:1">
      <c r="A159" t="s">
        <v>434</v>
      </c>
    </row>
    <row r="160" spans="1:1">
      <c r="A160" t="s">
        <v>435</v>
      </c>
    </row>
    <row r="161" spans="1:1">
      <c r="A161" t="s">
        <v>435</v>
      </c>
    </row>
    <row r="162" spans="1:1">
      <c r="A162" t="s">
        <v>434</v>
      </c>
    </row>
    <row r="163" spans="1:1">
      <c r="A163" t="s">
        <v>435</v>
      </c>
    </row>
    <row r="164" spans="1:1">
      <c r="A164" t="s">
        <v>435</v>
      </c>
    </row>
    <row r="165" spans="1:1">
      <c r="A165" t="s">
        <v>437</v>
      </c>
    </row>
    <row r="166" spans="1:1">
      <c r="A166" t="s">
        <v>435</v>
      </c>
    </row>
    <row r="167" spans="1:1">
      <c r="A167" t="s">
        <v>436</v>
      </c>
    </row>
    <row r="168" spans="1:1">
      <c r="A168" t="s">
        <v>434</v>
      </c>
    </row>
    <row r="169" spans="1:1">
      <c r="A169" t="s">
        <v>435</v>
      </c>
    </row>
    <row r="170" spans="1:1">
      <c r="A170" t="s">
        <v>435</v>
      </c>
    </row>
    <row r="171" spans="1:1">
      <c r="A171" t="s">
        <v>435</v>
      </c>
    </row>
    <row r="172" spans="1:1">
      <c r="A172" t="s">
        <v>435</v>
      </c>
    </row>
    <row r="173" spans="1:1">
      <c r="A173" t="s">
        <v>435</v>
      </c>
    </row>
    <row r="174" spans="1:1">
      <c r="A174" t="s">
        <v>435</v>
      </c>
    </row>
    <row r="175" spans="1:1">
      <c r="A175" t="s">
        <v>435</v>
      </c>
    </row>
    <row r="176" spans="1:1">
      <c r="A176" t="s">
        <v>434</v>
      </c>
    </row>
    <row r="177" spans="1:1">
      <c r="A177" t="s">
        <v>435</v>
      </c>
    </row>
    <row r="178" spans="1:1">
      <c r="A178" t="s">
        <v>435</v>
      </c>
    </row>
    <row r="179" spans="1:1">
      <c r="A179" t="s">
        <v>434</v>
      </c>
    </row>
    <row r="180" spans="1:1">
      <c r="A180" t="s">
        <v>437</v>
      </c>
    </row>
    <row r="181" spans="1:1">
      <c r="A181" t="s">
        <v>434</v>
      </c>
    </row>
    <row r="182" spans="1:1">
      <c r="A182" t="s">
        <v>434</v>
      </c>
    </row>
    <row r="183" spans="1:1">
      <c r="A183" t="s">
        <v>436</v>
      </c>
    </row>
    <row r="184" spans="1:1">
      <c r="A184" t="s">
        <v>436</v>
      </c>
    </row>
    <row r="185" spans="1:1">
      <c r="A185" t="s">
        <v>435</v>
      </c>
    </row>
    <row r="186" spans="1:1">
      <c r="A186" t="s">
        <v>435</v>
      </c>
    </row>
    <row r="187" spans="1:1">
      <c r="A187" t="s">
        <v>434</v>
      </c>
    </row>
    <row r="188" spans="1:1">
      <c r="A188" t="s">
        <v>435</v>
      </c>
    </row>
    <row r="189" spans="1:1">
      <c r="A189" t="s">
        <v>436</v>
      </c>
    </row>
    <row r="190" spans="1:1">
      <c r="A190" t="s">
        <v>435</v>
      </c>
    </row>
    <row r="191" spans="1:1">
      <c r="A191" t="s">
        <v>435</v>
      </c>
    </row>
    <row r="192" spans="1:1">
      <c r="A192" t="s">
        <v>437</v>
      </c>
    </row>
    <row r="193" spans="1:1">
      <c r="A193" t="s">
        <v>436</v>
      </c>
    </row>
    <row r="194" spans="1:1">
      <c r="A194" t="s">
        <v>436</v>
      </c>
    </row>
    <row r="195" spans="1:1">
      <c r="A195" t="s">
        <v>435</v>
      </c>
    </row>
    <row r="196" spans="1:1">
      <c r="A196" t="s">
        <v>434</v>
      </c>
    </row>
    <row r="197" spans="1:1">
      <c r="A197" t="s">
        <v>434</v>
      </c>
    </row>
    <row r="198" spans="1:1">
      <c r="A198" t="s">
        <v>436</v>
      </c>
    </row>
    <row r="199" spans="1:1">
      <c r="A199" t="s">
        <v>434</v>
      </c>
    </row>
    <row r="200" spans="1:1">
      <c r="A200" t="s">
        <v>434</v>
      </c>
    </row>
    <row r="201" spans="1:1">
      <c r="A201" t="s">
        <v>436</v>
      </c>
    </row>
    <row r="202" spans="1:1">
      <c r="A202" t="s">
        <v>435</v>
      </c>
    </row>
    <row r="203" spans="1:1">
      <c r="A203" t="s">
        <v>437</v>
      </c>
    </row>
    <row r="204" spans="1:1">
      <c r="A204" t="s">
        <v>435</v>
      </c>
    </row>
    <row r="205" spans="1:1">
      <c r="A205" t="s">
        <v>435</v>
      </c>
    </row>
    <row r="206" spans="1:1">
      <c r="A206" t="s">
        <v>436</v>
      </c>
    </row>
    <row r="207" spans="1:1">
      <c r="A207" t="s">
        <v>434</v>
      </c>
    </row>
    <row r="208" spans="1:1">
      <c r="A208" t="s">
        <v>437</v>
      </c>
    </row>
    <row r="209" spans="1:1">
      <c r="A209" t="s">
        <v>436</v>
      </c>
    </row>
    <row r="210" spans="1:1">
      <c r="A210" t="s">
        <v>436</v>
      </c>
    </row>
    <row r="211" spans="1:1">
      <c r="A211" t="s">
        <v>435</v>
      </c>
    </row>
    <row r="212" spans="1:1">
      <c r="A212" t="s">
        <v>434</v>
      </c>
    </row>
    <row r="213" spans="1:1">
      <c r="A213" t="s">
        <v>437</v>
      </c>
    </row>
    <row r="214" spans="1:1">
      <c r="A214" t="s">
        <v>434</v>
      </c>
    </row>
    <row r="215" spans="1:1">
      <c r="A215" t="s">
        <v>437</v>
      </c>
    </row>
    <row r="216" spans="1:1">
      <c r="A216" t="s">
        <v>436</v>
      </c>
    </row>
    <row r="217" spans="1:1">
      <c r="A217" t="s">
        <v>435</v>
      </c>
    </row>
    <row r="218" spans="1:1">
      <c r="A218" t="s">
        <v>436</v>
      </c>
    </row>
    <row r="219" spans="1:1">
      <c r="A219" t="s">
        <v>435</v>
      </c>
    </row>
    <row r="220" spans="1:1">
      <c r="A220" t="s">
        <v>435</v>
      </c>
    </row>
    <row r="221" spans="1:1">
      <c r="A221" t="s">
        <v>437</v>
      </c>
    </row>
    <row r="222" spans="1:1">
      <c r="A222" t="s">
        <v>436</v>
      </c>
    </row>
    <row r="223" spans="1:1">
      <c r="A223" t="s">
        <v>435</v>
      </c>
    </row>
    <row r="224" spans="1:1">
      <c r="A224" t="s">
        <v>437</v>
      </c>
    </row>
    <row r="225" spans="1:1">
      <c r="A225" t="s">
        <v>436</v>
      </c>
    </row>
    <row r="226" spans="1:1">
      <c r="A226" t="s">
        <v>436</v>
      </c>
    </row>
    <row r="227" spans="1:1">
      <c r="A227" t="s">
        <v>437</v>
      </c>
    </row>
    <row r="228" spans="1:1">
      <c r="A228" t="s">
        <v>435</v>
      </c>
    </row>
    <row r="229" spans="1:1">
      <c r="A229" t="s">
        <v>435</v>
      </c>
    </row>
    <row r="230" spans="1:1">
      <c r="A230" t="s">
        <v>435</v>
      </c>
    </row>
    <row r="231" spans="1:1">
      <c r="A231" t="s">
        <v>436</v>
      </c>
    </row>
    <row r="232" spans="1:1">
      <c r="A232" t="s">
        <v>434</v>
      </c>
    </row>
    <row r="233" spans="1:1">
      <c r="A233" t="s">
        <v>437</v>
      </c>
    </row>
    <row r="234" spans="1:1">
      <c r="A234" t="s">
        <v>435</v>
      </c>
    </row>
    <row r="235" spans="1:1">
      <c r="A235" t="s">
        <v>436</v>
      </c>
    </row>
    <row r="236" spans="1:1">
      <c r="A236" t="s">
        <v>436</v>
      </c>
    </row>
    <row r="237" spans="1:1">
      <c r="A237" t="s">
        <v>435</v>
      </c>
    </row>
    <row r="238" spans="1:1">
      <c r="A238" t="s">
        <v>436</v>
      </c>
    </row>
    <row r="239" spans="1:1">
      <c r="A239" t="s">
        <v>435</v>
      </c>
    </row>
    <row r="240" spans="1:1">
      <c r="A240" t="s">
        <v>435</v>
      </c>
    </row>
    <row r="241" spans="1:1">
      <c r="A241" t="s">
        <v>434</v>
      </c>
    </row>
    <row r="242" spans="1:1">
      <c r="A242" t="s">
        <v>437</v>
      </c>
    </row>
    <row r="243" spans="1:1">
      <c r="A243" t="s">
        <v>435</v>
      </c>
    </row>
    <row r="244" spans="1:1">
      <c r="A244" t="s">
        <v>434</v>
      </c>
    </row>
    <row r="245" spans="1:1">
      <c r="A245" t="s">
        <v>435</v>
      </c>
    </row>
    <row r="246" spans="1:1">
      <c r="A246" t="s">
        <v>436</v>
      </c>
    </row>
    <row r="247" spans="1:1">
      <c r="A247" t="s">
        <v>435</v>
      </c>
    </row>
    <row r="248" spans="1:1">
      <c r="A248" t="s">
        <v>437</v>
      </c>
    </row>
    <row r="249" spans="1:1">
      <c r="A249" t="s">
        <v>436</v>
      </c>
    </row>
    <row r="250" spans="1:1">
      <c r="A250" t="s">
        <v>437</v>
      </c>
    </row>
    <row r="251" spans="1:1">
      <c r="A251" t="s">
        <v>436</v>
      </c>
    </row>
    <row r="252" spans="1:1">
      <c r="A252" t="s">
        <v>436</v>
      </c>
    </row>
    <row r="253" spans="1:1">
      <c r="A253" t="s">
        <v>435</v>
      </c>
    </row>
    <row r="254" spans="1:1">
      <c r="A254" t="s">
        <v>437</v>
      </c>
    </row>
    <row r="255" spans="1:1">
      <c r="A255" t="s">
        <v>435</v>
      </c>
    </row>
    <row r="256" spans="1:1">
      <c r="A256" t="s">
        <v>436</v>
      </c>
    </row>
    <row r="257" spans="1:1">
      <c r="A257" t="s">
        <v>435</v>
      </c>
    </row>
    <row r="258" spans="1:1">
      <c r="A258" t="s">
        <v>434</v>
      </c>
    </row>
    <row r="259" spans="1:1">
      <c r="A259" t="s">
        <v>434</v>
      </c>
    </row>
    <row r="260" spans="1:1">
      <c r="A260" t="s">
        <v>434</v>
      </c>
    </row>
    <row r="261" spans="1:1">
      <c r="A261" t="s">
        <v>435</v>
      </c>
    </row>
    <row r="262" spans="1:1">
      <c r="A262" t="s">
        <v>436</v>
      </c>
    </row>
    <row r="263" spans="1:1">
      <c r="A263" t="s">
        <v>435</v>
      </c>
    </row>
    <row r="264" spans="1:1">
      <c r="A264" t="s">
        <v>436</v>
      </c>
    </row>
    <row r="265" spans="1:1">
      <c r="A265" t="s">
        <v>434</v>
      </c>
    </row>
    <row r="266" spans="1:1">
      <c r="A266" t="s">
        <v>436</v>
      </c>
    </row>
    <row r="267" spans="1:1">
      <c r="A267" t="s">
        <v>435</v>
      </c>
    </row>
    <row r="268" spans="1:1">
      <c r="A268" t="s">
        <v>435</v>
      </c>
    </row>
    <row r="269" spans="1:1">
      <c r="A269" t="s">
        <v>435</v>
      </c>
    </row>
    <row r="270" spans="1:1">
      <c r="A270" t="s">
        <v>436</v>
      </c>
    </row>
    <row r="271" spans="1:1">
      <c r="A271" t="s">
        <v>436</v>
      </c>
    </row>
    <row r="272" spans="1:1">
      <c r="A272" t="s">
        <v>437</v>
      </c>
    </row>
    <row r="273" spans="1:1">
      <c r="A273" t="s">
        <v>435</v>
      </c>
    </row>
    <row r="274" spans="1:1">
      <c r="A274" t="s">
        <v>436</v>
      </c>
    </row>
    <row r="275" spans="1:1">
      <c r="A275" t="s">
        <v>435</v>
      </c>
    </row>
    <row r="276" spans="1:1">
      <c r="A276" t="s">
        <v>435</v>
      </c>
    </row>
    <row r="277" spans="1:1">
      <c r="A277" t="s">
        <v>435</v>
      </c>
    </row>
    <row r="278" spans="1:1">
      <c r="A278" t="s">
        <v>434</v>
      </c>
    </row>
    <row r="279" spans="1:1">
      <c r="A279" t="s">
        <v>436</v>
      </c>
    </row>
    <row r="280" spans="1:1">
      <c r="A280" t="s">
        <v>435</v>
      </c>
    </row>
    <row r="281" spans="1:1">
      <c r="A281" t="s">
        <v>435</v>
      </c>
    </row>
    <row r="282" spans="1:1">
      <c r="A282" t="s">
        <v>435</v>
      </c>
    </row>
    <row r="283" spans="1:1">
      <c r="A283" t="s">
        <v>435</v>
      </c>
    </row>
    <row r="284" spans="1:1">
      <c r="A284" t="s">
        <v>435</v>
      </c>
    </row>
    <row r="285" spans="1:1">
      <c r="A285" t="s">
        <v>437</v>
      </c>
    </row>
    <row r="286" spans="1:1">
      <c r="A286" t="s">
        <v>435</v>
      </c>
    </row>
    <row r="287" spans="1:1">
      <c r="A287" t="s">
        <v>436</v>
      </c>
    </row>
    <row r="288" spans="1:1">
      <c r="A288" t="s">
        <v>435</v>
      </c>
    </row>
    <row r="289" spans="1:1">
      <c r="A289" t="s">
        <v>436</v>
      </c>
    </row>
    <row r="290" spans="1:1">
      <c r="A290" t="s">
        <v>436</v>
      </c>
    </row>
    <row r="291" spans="1:1">
      <c r="A291" t="s">
        <v>435</v>
      </c>
    </row>
    <row r="292" spans="1:1">
      <c r="A292" t="s">
        <v>435</v>
      </c>
    </row>
    <row r="293" spans="1:1">
      <c r="A293" t="s">
        <v>435</v>
      </c>
    </row>
    <row r="294" spans="1:1">
      <c r="A294" t="s">
        <v>435</v>
      </c>
    </row>
    <row r="295" spans="1:1">
      <c r="A295" t="s">
        <v>434</v>
      </c>
    </row>
    <row r="296" spans="1:1">
      <c r="A296" t="s">
        <v>436</v>
      </c>
    </row>
    <row r="297" spans="1:1">
      <c r="A297" t="s">
        <v>434</v>
      </c>
    </row>
    <row r="298" spans="1:1">
      <c r="A298" t="s">
        <v>435</v>
      </c>
    </row>
    <row r="299" spans="1:1">
      <c r="A299" t="s">
        <v>436</v>
      </c>
    </row>
    <row r="300" spans="1:1">
      <c r="A300" t="s">
        <v>436</v>
      </c>
    </row>
    <row r="301" spans="1:1">
      <c r="A301" t="s">
        <v>435</v>
      </c>
    </row>
    <row r="302" spans="1:1">
      <c r="A302" t="s">
        <v>434</v>
      </c>
    </row>
    <row r="303" spans="1:1">
      <c r="A303" t="s">
        <v>434</v>
      </c>
    </row>
    <row r="304" spans="1:1">
      <c r="A304" t="s">
        <v>435</v>
      </c>
    </row>
    <row r="305" spans="1:1">
      <c r="A305" t="s">
        <v>434</v>
      </c>
    </row>
    <row r="306" spans="1:1">
      <c r="A306" t="s">
        <v>435</v>
      </c>
    </row>
    <row r="307" spans="1:1">
      <c r="A307" t="s">
        <v>434</v>
      </c>
    </row>
    <row r="308" spans="1:1">
      <c r="A308" t="s">
        <v>436</v>
      </c>
    </row>
    <row r="309" spans="1:1">
      <c r="A309" t="s">
        <v>436</v>
      </c>
    </row>
    <row r="310" spans="1:1">
      <c r="A310" t="s">
        <v>434</v>
      </c>
    </row>
    <row r="311" spans="1:1">
      <c r="A311" t="s">
        <v>436</v>
      </c>
    </row>
    <row r="312" spans="1:1">
      <c r="A312" t="s">
        <v>435</v>
      </c>
    </row>
    <row r="313" spans="1:1">
      <c r="A313" t="s">
        <v>435</v>
      </c>
    </row>
    <row r="314" spans="1:1">
      <c r="A314" t="s">
        <v>435</v>
      </c>
    </row>
    <row r="315" spans="1:1">
      <c r="A315" t="s">
        <v>435</v>
      </c>
    </row>
    <row r="316" spans="1:1">
      <c r="A316" t="s">
        <v>434</v>
      </c>
    </row>
    <row r="317" spans="1:1">
      <c r="A317" t="s">
        <v>435</v>
      </c>
    </row>
    <row r="318" spans="1:1">
      <c r="A318" t="s">
        <v>435</v>
      </c>
    </row>
    <row r="319" spans="1:1">
      <c r="A319" t="s">
        <v>436</v>
      </c>
    </row>
    <row r="320" spans="1:1">
      <c r="A320" t="s">
        <v>436</v>
      </c>
    </row>
    <row r="321" spans="1:1">
      <c r="A321" t="s">
        <v>434</v>
      </c>
    </row>
    <row r="322" spans="1:1">
      <c r="A322" t="s">
        <v>435</v>
      </c>
    </row>
    <row r="323" spans="1:1">
      <c r="A323" t="s">
        <v>434</v>
      </c>
    </row>
    <row r="324" spans="1:1">
      <c r="A324" t="s">
        <v>435</v>
      </c>
    </row>
    <row r="325" spans="1:1">
      <c r="A325" t="s">
        <v>435</v>
      </c>
    </row>
    <row r="326" spans="1:1">
      <c r="A326" t="s">
        <v>435</v>
      </c>
    </row>
    <row r="327" spans="1:1">
      <c r="A327" t="s">
        <v>434</v>
      </c>
    </row>
    <row r="328" spans="1:1">
      <c r="A328" t="s">
        <v>436</v>
      </c>
    </row>
    <row r="329" spans="1:1">
      <c r="A329" t="s">
        <v>436</v>
      </c>
    </row>
    <row r="330" spans="1:1">
      <c r="A330" t="s">
        <v>434</v>
      </c>
    </row>
    <row r="331" spans="1:1">
      <c r="A331" t="s">
        <v>435</v>
      </c>
    </row>
    <row r="332" spans="1:1">
      <c r="A332" t="s">
        <v>434</v>
      </c>
    </row>
    <row r="333" spans="1:1">
      <c r="A333" t="s">
        <v>435</v>
      </c>
    </row>
    <row r="334" spans="1:1">
      <c r="A334" t="s">
        <v>437</v>
      </c>
    </row>
    <row r="335" spans="1:1">
      <c r="A335" t="s">
        <v>434</v>
      </c>
    </row>
    <row r="336" spans="1:1">
      <c r="A336" t="s">
        <v>434</v>
      </c>
    </row>
    <row r="337" spans="1:1">
      <c r="A337" t="s">
        <v>435</v>
      </c>
    </row>
    <row r="338" spans="1:1">
      <c r="A338" t="s">
        <v>434</v>
      </c>
    </row>
    <row r="339" spans="1:1">
      <c r="A339" t="s">
        <v>435</v>
      </c>
    </row>
    <row r="340" spans="1:1">
      <c r="A340" t="s">
        <v>435</v>
      </c>
    </row>
    <row r="341" spans="1:1">
      <c r="A341" t="s">
        <v>436</v>
      </c>
    </row>
    <row r="342" spans="1:1">
      <c r="A342" t="s">
        <v>436</v>
      </c>
    </row>
    <row r="343" spans="1:1">
      <c r="A343" t="s">
        <v>436</v>
      </c>
    </row>
    <row r="344" spans="1:1">
      <c r="A344" t="s">
        <v>434</v>
      </c>
    </row>
    <row r="345" spans="1:1">
      <c r="A345" t="s">
        <v>434</v>
      </c>
    </row>
    <row r="346" spans="1:1">
      <c r="A346" t="s">
        <v>434</v>
      </c>
    </row>
    <row r="347" spans="1:1">
      <c r="A347" t="s">
        <v>435</v>
      </c>
    </row>
    <row r="348" spans="1:1">
      <c r="A348" t="s">
        <v>436</v>
      </c>
    </row>
    <row r="349" spans="1:1">
      <c r="A349" t="s">
        <v>435</v>
      </c>
    </row>
    <row r="350" spans="1:1">
      <c r="A350" t="s">
        <v>435</v>
      </c>
    </row>
    <row r="351" spans="1:1">
      <c r="A351" t="s">
        <v>436</v>
      </c>
    </row>
    <row r="352" spans="1:1">
      <c r="A352" t="s">
        <v>436</v>
      </c>
    </row>
    <row r="353" spans="1:1">
      <c r="A353" t="s">
        <v>435</v>
      </c>
    </row>
    <row r="354" spans="1:1">
      <c r="A354" t="s">
        <v>435</v>
      </c>
    </row>
    <row r="355" spans="1:1">
      <c r="A355" t="s">
        <v>435</v>
      </c>
    </row>
    <row r="356" spans="1:1">
      <c r="A356" t="s">
        <v>435</v>
      </c>
    </row>
    <row r="357" spans="1:1">
      <c r="A357" t="s">
        <v>435</v>
      </c>
    </row>
    <row r="358" spans="1:1">
      <c r="A358" t="s">
        <v>436</v>
      </c>
    </row>
    <row r="359" spans="1:1">
      <c r="A359" t="s">
        <v>435</v>
      </c>
    </row>
    <row r="360" spans="1:1">
      <c r="A360" t="s">
        <v>436</v>
      </c>
    </row>
    <row r="361" spans="1:1">
      <c r="A361" t="s">
        <v>434</v>
      </c>
    </row>
    <row r="362" spans="1:1">
      <c r="A362" t="s">
        <v>435</v>
      </c>
    </row>
    <row r="363" spans="1:1">
      <c r="A363" t="s">
        <v>435</v>
      </c>
    </row>
    <row r="364" spans="1:1">
      <c r="A364" t="s">
        <v>434</v>
      </c>
    </row>
    <row r="365" spans="1:1">
      <c r="A365" t="s">
        <v>436</v>
      </c>
    </row>
    <row r="366" spans="1:1">
      <c r="A366" t="s">
        <v>436</v>
      </c>
    </row>
    <row r="367" spans="1:1">
      <c r="A367" t="s">
        <v>435</v>
      </c>
    </row>
    <row r="368" spans="1:1">
      <c r="A368" t="s">
        <v>436</v>
      </c>
    </row>
    <row r="369" spans="1:1">
      <c r="A369" t="s">
        <v>436</v>
      </c>
    </row>
    <row r="370" spans="1:1">
      <c r="A370" t="s">
        <v>434</v>
      </c>
    </row>
    <row r="371" spans="1:1">
      <c r="A371" t="s">
        <v>435</v>
      </c>
    </row>
    <row r="372" spans="1:1">
      <c r="A372" t="s">
        <v>436</v>
      </c>
    </row>
    <row r="373" spans="1:1">
      <c r="A373" t="s">
        <v>434</v>
      </c>
    </row>
    <row r="374" spans="1:1">
      <c r="A374" t="s">
        <v>435</v>
      </c>
    </row>
    <row r="375" spans="1:1">
      <c r="A375" t="s">
        <v>436</v>
      </c>
    </row>
    <row r="376" spans="1:1">
      <c r="A376" t="s">
        <v>436</v>
      </c>
    </row>
    <row r="377" spans="1:1">
      <c r="A377" t="s">
        <v>435</v>
      </c>
    </row>
    <row r="378" spans="1:1">
      <c r="A378" t="s">
        <v>436</v>
      </c>
    </row>
    <row r="379" spans="1:1">
      <c r="A379" t="s">
        <v>436</v>
      </c>
    </row>
    <row r="380" spans="1:1">
      <c r="A380" t="s">
        <v>435</v>
      </c>
    </row>
    <row r="381" spans="1:1">
      <c r="A381" t="s">
        <v>437</v>
      </c>
    </row>
    <row r="382" spans="1:1">
      <c r="A382" t="s">
        <v>434</v>
      </c>
    </row>
    <row r="383" spans="1:1">
      <c r="A383" t="s">
        <v>435</v>
      </c>
    </row>
    <row r="384" spans="1:1">
      <c r="A384" t="s">
        <v>435</v>
      </c>
    </row>
    <row r="385" spans="1:1">
      <c r="A385" t="s">
        <v>435</v>
      </c>
    </row>
    <row r="386" spans="1:1">
      <c r="A386" t="s">
        <v>435</v>
      </c>
    </row>
    <row r="387" spans="1:1">
      <c r="A387" t="s">
        <v>435</v>
      </c>
    </row>
    <row r="388" spans="1:1">
      <c r="A388" t="s">
        <v>434</v>
      </c>
    </row>
    <row r="389" spans="1:1">
      <c r="A389" t="s">
        <v>435</v>
      </c>
    </row>
    <row r="390" spans="1:1">
      <c r="A390" t="s">
        <v>437</v>
      </c>
    </row>
    <row r="391" spans="1:1">
      <c r="A391" t="s">
        <v>435</v>
      </c>
    </row>
    <row r="392" spans="1:1">
      <c r="A392" t="s">
        <v>434</v>
      </c>
    </row>
    <row r="393" spans="1:1">
      <c r="A393" t="s">
        <v>437</v>
      </c>
    </row>
    <row r="394" spans="1:1">
      <c r="A394" t="s">
        <v>436</v>
      </c>
    </row>
    <row r="395" spans="1:1">
      <c r="A395" t="s">
        <v>436</v>
      </c>
    </row>
    <row r="396" spans="1:1">
      <c r="A396" t="s">
        <v>435</v>
      </c>
    </row>
    <row r="397" spans="1:1">
      <c r="A397" t="s">
        <v>434</v>
      </c>
    </row>
    <row r="398" spans="1:1">
      <c r="A398" t="s">
        <v>435</v>
      </c>
    </row>
    <row r="399" spans="1:1">
      <c r="A399" t="s">
        <v>434</v>
      </c>
    </row>
    <row r="400" spans="1:1">
      <c r="A400" t="s">
        <v>436</v>
      </c>
    </row>
    <row r="401" spans="1:1">
      <c r="A401" t="s">
        <v>435</v>
      </c>
    </row>
  </sheetData>
  <mergeCells count="5">
    <mergeCell ref="E59:I59"/>
    <mergeCell ref="F4:H4"/>
    <mergeCell ref="F12:G12"/>
    <mergeCell ref="C1:M1"/>
    <mergeCell ref="E24:I24"/>
  </mergeCell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68092-3465-F345-BA32-274F80AEC0D7}">
  <dimension ref="A1:W401"/>
  <sheetViews>
    <sheetView topLeftCell="B1" zoomScale="83" workbookViewId="0">
      <selection activeCell="D2" sqref="D2:E4"/>
    </sheetView>
  </sheetViews>
  <sheetFormatPr baseColWidth="10" defaultRowHeight="16"/>
  <cols>
    <col min="1" max="1" width="12.5" style="152" customWidth="1"/>
    <col min="2" max="2" width="19.1640625" style="152" customWidth="1"/>
    <col min="3" max="3" width="48.33203125" style="152" customWidth="1"/>
    <col min="4" max="4" width="43.83203125" style="152" bestFit="1" customWidth="1"/>
    <col min="5" max="5" width="22.83203125" style="152" customWidth="1"/>
    <col min="6" max="6" width="37.33203125" style="152" bestFit="1" customWidth="1"/>
    <col min="7" max="7" width="17.33203125" style="152" bestFit="1" customWidth="1"/>
    <col min="8" max="8" width="21.5" style="152" bestFit="1" customWidth="1"/>
    <col min="9" max="9" width="18.6640625" style="152" bestFit="1" customWidth="1"/>
    <col min="10" max="10" width="19.33203125" style="152" bestFit="1" customWidth="1"/>
    <col min="11" max="11" width="10.83203125" style="152"/>
    <col min="12" max="12" width="24" style="152" customWidth="1"/>
    <col min="13" max="13" width="21.5" style="152" customWidth="1"/>
    <col min="14" max="14" width="15.1640625" style="152" bestFit="1" customWidth="1"/>
    <col min="15" max="15" width="19.33203125" style="152" bestFit="1" customWidth="1"/>
    <col min="16" max="16" width="16.83203125" style="152" bestFit="1" customWidth="1"/>
    <col min="17" max="17" width="17.6640625" style="152" bestFit="1" customWidth="1"/>
    <col min="18" max="19" width="6.1640625" style="152" bestFit="1" customWidth="1"/>
    <col min="20" max="20" width="5.1640625" style="152" bestFit="1" customWidth="1"/>
    <col min="21" max="25" width="6.1640625" style="152" bestFit="1" customWidth="1"/>
    <col min="26" max="26" width="5.1640625" style="152" bestFit="1" customWidth="1"/>
    <col min="27" max="29" width="7.1640625" style="152" bestFit="1" customWidth="1"/>
    <col min="30" max="30" width="5.1640625" style="152" bestFit="1" customWidth="1"/>
    <col min="31" max="34" width="7.1640625" style="152" bestFit="1" customWidth="1"/>
    <col min="35" max="35" width="6.1640625" style="152" bestFit="1" customWidth="1"/>
    <col min="36" max="36" width="7.1640625" style="152" bestFit="1" customWidth="1"/>
    <col min="37" max="37" width="6.1640625" style="152" bestFit="1" customWidth="1"/>
    <col min="38" max="38" width="7.1640625" style="152" bestFit="1" customWidth="1"/>
    <col min="39" max="39" width="6.1640625" style="152" bestFit="1" customWidth="1"/>
    <col min="40" max="41" width="7.1640625" style="152" bestFit="1" customWidth="1"/>
    <col min="42" max="42" width="5.1640625" style="152" bestFit="1" customWidth="1"/>
    <col min="43" max="43" width="6.1640625" style="152" bestFit="1" customWidth="1"/>
    <col min="44" max="45" width="7.1640625" style="152" bestFit="1" customWidth="1"/>
    <col min="46" max="46" width="6.1640625" style="152" bestFit="1" customWidth="1"/>
    <col min="47" max="56" width="7.1640625" style="152" bestFit="1" customWidth="1"/>
    <col min="57" max="57" width="6.1640625" style="152" bestFit="1" customWidth="1"/>
    <col min="58" max="71" width="7.1640625" style="152" bestFit="1" customWidth="1"/>
    <col min="72" max="72" width="5.1640625" style="152" bestFit="1" customWidth="1"/>
    <col min="73" max="74" width="7.1640625" style="152" bestFit="1" customWidth="1"/>
    <col min="75" max="75" width="6.1640625" style="152" bestFit="1" customWidth="1"/>
    <col min="76" max="79" width="7.1640625" style="152" bestFit="1" customWidth="1"/>
    <col min="80" max="81" width="6.1640625" style="152" bestFit="1" customWidth="1"/>
    <col min="82" max="87" width="7.1640625" style="152" bestFit="1" customWidth="1"/>
    <col min="88" max="88" width="6.1640625" style="152" bestFit="1" customWidth="1"/>
    <col min="89" max="93" width="7.1640625" style="152" bestFit="1" customWidth="1"/>
    <col min="94" max="94" width="5.1640625" style="152" bestFit="1" customWidth="1"/>
    <col min="95" max="127" width="7.1640625" style="152" bestFit="1" customWidth="1"/>
    <col min="128" max="128" width="6.1640625" style="152" bestFit="1" customWidth="1"/>
    <col min="129" max="134" width="7.1640625" style="152" bestFit="1" customWidth="1"/>
    <col min="135" max="135" width="6.1640625" style="152" bestFit="1" customWidth="1"/>
    <col min="136" max="137" width="7.1640625" style="152" bestFit="1" customWidth="1"/>
    <col min="138" max="138" width="6.1640625" style="152" bestFit="1" customWidth="1"/>
    <col min="139" max="141" width="7.1640625" style="152" bestFit="1" customWidth="1"/>
    <col min="142" max="142" width="6.1640625" style="152" bestFit="1" customWidth="1"/>
    <col min="143" max="182" width="7.1640625" style="152" bestFit="1" customWidth="1"/>
    <col min="183" max="183" width="6.1640625" style="152" bestFit="1" customWidth="1"/>
    <col min="184" max="201" width="7.1640625" style="152" bestFit="1" customWidth="1"/>
    <col min="202" max="202" width="6.1640625" style="152" bestFit="1" customWidth="1"/>
    <col min="203" max="206" width="7.1640625" style="152" bestFit="1" customWidth="1"/>
    <col min="207" max="207" width="6.1640625" style="152" bestFit="1" customWidth="1"/>
    <col min="208" max="229" width="7.1640625" style="152" bestFit="1" customWidth="1"/>
    <col min="230" max="230" width="6.1640625" style="152" bestFit="1" customWidth="1"/>
    <col min="231" max="238" width="7.1640625" style="152" bestFit="1" customWidth="1"/>
    <col min="239" max="240" width="6.1640625" style="152" bestFit="1" customWidth="1"/>
    <col min="241" max="266" width="7.1640625" style="152" bestFit="1" customWidth="1"/>
    <col min="267" max="268" width="6.1640625" style="152" bestFit="1" customWidth="1"/>
    <col min="269" max="287" width="7.1640625" style="152" bestFit="1" customWidth="1"/>
    <col min="288" max="288" width="6.1640625" style="152" bestFit="1" customWidth="1"/>
    <col min="289" max="299" width="7.1640625" style="152" bestFit="1" customWidth="1"/>
    <col min="300" max="301" width="6.1640625" style="152" bestFit="1" customWidth="1"/>
    <col min="302" max="312" width="7.1640625" style="152" bestFit="1" customWidth="1"/>
    <col min="313" max="313" width="6.1640625" style="152" bestFit="1" customWidth="1"/>
    <col min="314" max="322" width="7.1640625" style="152" bestFit="1" customWidth="1"/>
    <col min="323" max="323" width="6.1640625" style="152" bestFit="1" customWidth="1"/>
    <col min="324" max="338" width="7.1640625" style="152" bestFit="1" customWidth="1"/>
    <col min="339" max="340" width="6.1640625" style="152" bestFit="1" customWidth="1"/>
    <col min="341" max="356" width="7.1640625" style="152" bestFit="1" customWidth="1"/>
    <col min="357" max="357" width="6.1640625" style="152" bestFit="1" customWidth="1"/>
    <col min="358" max="379" width="7.1640625" style="152" bestFit="1" customWidth="1"/>
    <col min="380" max="380" width="6.1640625" style="152" bestFit="1" customWidth="1"/>
    <col min="381" max="389" width="7.1640625" style="152" bestFit="1" customWidth="1"/>
    <col min="390" max="390" width="6.1640625" style="152" bestFit="1" customWidth="1"/>
    <col min="391" max="395" width="7.1640625" style="152" bestFit="1" customWidth="1"/>
    <col min="396" max="396" width="5.1640625" style="152" bestFit="1" customWidth="1"/>
    <col min="397" max="399" width="7.1640625" style="152" bestFit="1" customWidth="1"/>
    <col min="400" max="400" width="6.1640625" style="152" bestFit="1" customWidth="1"/>
    <col min="401" max="405" width="7.1640625" style="152" bestFit="1" customWidth="1"/>
    <col min="406" max="410" width="8.1640625" style="152" bestFit="1" customWidth="1"/>
    <col min="411" max="411" width="7.1640625" style="152" bestFit="1" customWidth="1"/>
    <col min="412" max="412" width="10" style="152" bestFit="1" customWidth="1"/>
    <col min="413" max="16384" width="10.83203125" style="152"/>
  </cols>
  <sheetData>
    <row r="1" spans="1:23" ht="26" customHeight="1">
      <c r="A1" s="222" t="s">
        <v>464</v>
      </c>
      <c r="B1" s="222" t="s">
        <v>6</v>
      </c>
      <c r="C1" s="223" t="s">
        <v>640</v>
      </c>
      <c r="D1" s="224"/>
      <c r="E1" s="167" t="s">
        <v>639</v>
      </c>
      <c r="F1" s="167"/>
      <c r="G1" s="167"/>
      <c r="H1" s="167"/>
      <c r="I1" s="167"/>
      <c r="J1" s="167"/>
      <c r="K1" s="167"/>
      <c r="L1" s="224"/>
      <c r="M1" s="224"/>
      <c r="N1" s="224"/>
      <c r="O1" s="224"/>
      <c r="P1" s="224"/>
      <c r="Q1" s="224"/>
      <c r="R1" s="224"/>
      <c r="S1" s="224"/>
      <c r="T1" s="224"/>
      <c r="U1" s="224"/>
      <c r="V1" s="224"/>
      <c r="W1" s="224"/>
    </row>
    <row r="2" spans="1:23">
      <c r="A2" s="152">
        <v>17.388000000000002</v>
      </c>
      <c r="B2" s="152">
        <v>19</v>
      </c>
      <c r="C2" s="152" t="str">
        <f>IF(A2&lt;22, "Low Spend (&lt;$22,000)", IF(A2&lt;=44, "Lower-Middle Spend ($23,000 - $44,000)", IF(A2&lt;=66, "Middle Spend ($45,000 - $66,000)", IF(A2&lt;=88, "Upper-Middle Spend ($67,000 - $88,000)", IF(A2&lt;=132, "High Spend ($89,000 - $132,000)", "Premium Spend (&gt;$132,000)")))))</f>
        <v>Low Spend (&lt;$22,000)</v>
      </c>
      <c r="D2" s="235" t="s">
        <v>651</v>
      </c>
      <c r="E2" s="235"/>
    </row>
    <row r="3" spans="1:23">
      <c r="A3" s="152">
        <v>46.656999999999996</v>
      </c>
      <c r="B3" s="152">
        <v>11</v>
      </c>
      <c r="C3" s="152" t="str">
        <f t="shared" ref="C3:C66" si="0">IF(A3&lt;22, "Low Spend (&lt;$22,000)", IF(A3&lt;=44, "Lower-Middle Spend ($23,000 - $44,000)", IF(A3&lt;=66, "Middle Spend ($45,000 - $66,000)", IF(A3&lt;=88, "Upper-Middle Spend ($67,000 - $88,000)", IF(A3&lt;=132, "High Spend ($89,000 - $132,000)", "Premium Spend (&gt;$132,000)")))))</f>
        <v>Middle Spend ($45,000 - $66,000)</v>
      </c>
      <c r="D3" s="235"/>
      <c r="E3" s="235"/>
    </row>
    <row r="4" spans="1:23">
      <c r="A4" s="152">
        <v>68.616</v>
      </c>
      <c r="B4" s="152">
        <v>74</v>
      </c>
      <c r="C4" s="152" t="str">
        <f t="shared" si="0"/>
        <v>Upper-Middle Spend ($67,000 - $88,000)</v>
      </c>
      <c r="D4" s="235"/>
      <c r="E4" s="235"/>
      <c r="M4" s="150"/>
      <c r="N4" s="150"/>
    </row>
    <row r="5" spans="1:23">
      <c r="A5" s="152">
        <v>28.391999999999999</v>
      </c>
      <c r="B5" s="152">
        <v>97</v>
      </c>
      <c r="C5" s="152" t="str">
        <f t="shared" si="0"/>
        <v>Lower-Middle Spend ($23,000 - $44,000)</v>
      </c>
      <c r="G5" s="221" t="s">
        <v>637</v>
      </c>
      <c r="H5" s="221"/>
      <c r="I5" s="221"/>
    </row>
    <row r="6" spans="1:23">
      <c r="A6" s="152">
        <v>43.87</v>
      </c>
      <c r="B6" s="152">
        <v>10</v>
      </c>
      <c r="C6" s="152" t="str">
        <f t="shared" si="0"/>
        <v>Lower-Middle Spend ($23,000 - $44,000)</v>
      </c>
      <c r="G6" s="150" t="s">
        <v>566</v>
      </c>
      <c r="H6" s="150" t="s">
        <v>464</v>
      </c>
      <c r="I6" s="150" t="s">
        <v>6</v>
      </c>
    </row>
    <row r="7" spans="1:23">
      <c r="A7" s="152">
        <v>65.685000000000002</v>
      </c>
      <c r="B7" s="152">
        <v>104</v>
      </c>
      <c r="C7" s="152" t="str">
        <f t="shared" si="0"/>
        <v>Middle Spend ($45,000 - $66,000)</v>
      </c>
      <c r="G7" s="150" t="s">
        <v>540</v>
      </c>
      <c r="H7" s="151">
        <v>49.252744999999997</v>
      </c>
      <c r="I7" s="237">
        <v>51.887500000000003</v>
      </c>
    </row>
    <row r="8" spans="1:23">
      <c r="A8" s="152">
        <v>25.864999999999998</v>
      </c>
      <c r="B8" s="152">
        <v>97</v>
      </c>
      <c r="C8" s="152" t="str">
        <f t="shared" si="0"/>
        <v>Lower-Middle Spend ($23,000 - $44,000)</v>
      </c>
      <c r="G8" s="150" t="s">
        <v>501</v>
      </c>
      <c r="H8" s="151">
        <v>1.1803807550000001</v>
      </c>
      <c r="I8" s="151">
        <v>1.466150949</v>
      </c>
    </row>
    <row r="9" spans="1:23" ht="18">
      <c r="A9" s="152">
        <v>40.753999999999998</v>
      </c>
      <c r="B9" s="152">
        <v>38</v>
      </c>
      <c r="C9" s="152" t="str">
        <f t="shared" si="0"/>
        <v>Lower-Middle Spend ($23,000 - $44,000)</v>
      </c>
      <c r="D9" s="150"/>
      <c r="E9" s="225"/>
      <c r="F9" s="225"/>
      <c r="G9" s="150" t="s">
        <v>537</v>
      </c>
      <c r="H9" s="151">
        <v>47.622</v>
      </c>
      <c r="I9" s="151">
        <v>48</v>
      </c>
    </row>
    <row r="10" spans="1:23" ht="18">
      <c r="A10" s="152">
        <v>16.122</v>
      </c>
      <c r="B10" s="152">
        <v>58</v>
      </c>
      <c r="C10" s="152" t="str">
        <f t="shared" si="0"/>
        <v>Low Spend (&lt;$22,000)</v>
      </c>
      <c r="D10" s="150"/>
      <c r="E10" s="225"/>
      <c r="F10" s="225"/>
      <c r="G10" s="150" t="s">
        <v>555</v>
      </c>
      <c r="H10" s="151">
        <v>21.079000000000001</v>
      </c>
      <c r="I10" s="151">
        <v>43</v>
      </c>
    </row>
    <row r="11" spans="1:23" ht="18">
      <c r="A11" s="152">
        <v>43.776000000000003</v>
      </c>
      <c r="B11" s="152">
        <v>88</v>
      </c>
      <c r="C11" s="152" t="str">
        <f t="shared" si="0"/>
        <v>Lower-Middle Spend ($23,000 - $44,000)</v>
      </c>
      <c r="D11" s="150"/>
      <c r="E11" s="225"/>
      <c r="F11" s="225"/>
      <c r="G11" s="150" t="s">
        <v>567</v>
      </c>
      <c r="H11" s="151">
        <v>23.607615110000001</v>
      </c>
      <c r="I11" s="151">
        <v>29.323018980000001</v>
      </c>
    </row>
    <row r="12" spans="1:23">
      <c r="A12" s="152">
        <v>63.607999999999997</v>
      </c>
      <c r="B12" s="152">
        <v>36</v>
      </c>
      <c r="C12" s="152" t="str">
        <f t="shared" si="0"/>
        <v>Middle Spend ($45,000 - $66,000)</v>
      </c>
      <c r="G12" s="150" t="s">
        <v>588</v>
      </c>
      <c r="H12" s="151">
        <v>557.31949110000005</v>
      </c>
      <c r="I12" s="151">
        <v>859.83944240000005</v>
      </c>
    </row>
    <row r="13" spans="1:23">
      <c r="A13" s="152">
        <v>35.884</v>
      </c>
      <c r="B13" s="152">
        <v>45</v>
      </c>
      <c r="C13" s="152" t="str">
        <f t="shared" si="0"/>
        <v>Lower-Middle Spend ($23,000 - $44,000)</v>
      </c>
      <c r="G13" s="150" t="s">
        <v>589</v>
      </c>
      <c r="H13" s="151">
        <v>0.18710352399999999</v>
      </c>
      <c r="I13" s="151">
        <v>-0.35715386500000001</v>
      </c>
    </row>
    <row r="14" spans="1:23" ht="15" customHeight="1">
      <c r="A14" s="152">
        <v>59.942999999999998</v>
      </c>
      <c r="B14" s="152">
        <v>51</v>
      </c>
      <c r="C14" s="152" t="str">
        <f t="shared" si="0"/>
        <v>Middle Spend ($45,000 - $66,000)</v>
      </c>
      <c r="G14" s="150" t="s">
        <v>590</v>
      </c>
      <c r="H14" s="151">
        <v>0.43613417999999998</v>
      </c>
      <c r="I14" s="151">
        <v>0.47412262199999999</v>
      </c>
    </row>
    <row r="15" spans="1:23" ht="15" customHeight="1">
      <c r="A15" s="152">
        <v>55.834000000000003</v>
      </c>
      <c r="B15" s="152">
        <v>48</v>
      </c>
      <c r="C15" s="152" t="str">
        <f t="shared" si="0"/>
        <v>Middle Spend ($45,000 - $66,000)</v>
      </c>
      <c r="G15" s="150" t="s">
        <v>539</v>
      </c>
      <c r="H15" s="151">
        <v>131.947</v>
      </c>
      <c r="I15" s="151">
        <v>145</v>
      </c>
    </row>
    <row r="16" spans="1:23" ht="15" customHeight="1">
      <c r="A16" s="152">
        <v>15.707000000000001</v>
      </c>
      <c r="B16" s="152">
        <v>41</v>
      </c>
      <c r="C16" s="152" t="str">
        <f t="shared" si="0"/>
        <v>Low Spend (&lt;$22,000)</v>
      </c>
      <c r="G16" s="150" t="s">
        <v>544</v>
      </c>
      <c r="H16" s="151">
        <v>5.6929999999999996</v>
      </c>
      <c r="I16" s="151">
        <v>5</v>
      </c>
    </row>
    <row r="17" spans="1:12" ht="21">
      <c r="A17" s="152">
        <v>67.504000000000005</v>
      </c>
      <c r="B17" s="152">
        <v>71</v>
      </c>
      <c r="C17" s="152" t="str">
        <f t="shared" si="0"/>
        <v>Upper-Middle Spend ($67,000 - $88,000)</v>
      </c>
      <c r="G17" s="150" t="s">
        <v>538</v>
      </c>
      <c r="H17" s="151">
        <v>137.63999999999999</v>
      </c>
      <c r="I17" s="151">
        <v>150</v>
      </c>
      <c r="L17" s="234"/>
    </row>
    <row r="18" spans="1:12">
      <c r="A18" s="152">
        <v>42.305</v>
      </c>
      <c r="B18" s="152">
        <v>48</v>
      </c>
      <c r="C18" s="152" t="str">
        <f t="shared" si="0"/>
        <v>Lower-Middle Spend ($23,000 - $44,000)</v>
      </c>
      <c r="G18" s="150" t="s">
        <v>586</v>
      </c>
      <c r="H18" s="151">
        <v>19701.098000000002</v>
      </c>
      <c r="I18" s="151">
        <v>20755</v>
      </c>
    </row>
    <row r="19" spans="1:12">
      <c r="A19" s="152">
        <v>45.494</v>
      </c>
      <c r="B19" s="152">
        <v>18</v>
      </c>
      <c r="C19" s="152" t="str">
        <f t="shared" si="0"/>
        <v>Middle Spend ($45,000 - $66,000)</v>
      </c>
      <c r="G19" s="150" t="s">
        <v>541</v>
      </c>
      <c r="H19" s="152">
        <v>400</v>
      </c>
      <c r="I19" s="152">
        <v>400</v>
      </c>
    </row>
    <row r="20" spans="1:12">
      <c r="A20" s="152">
        <v>25.003</v>
      </c>
      <c r="B20" s="152">
        <v>31</v>
      </c>
      <c r="C20" s="152" t="str">
        <f t="shared" si="0"/>
        <v>Lower-Middle Spend ($23,000 - $44,000)</v>
      </c>
    </row>
    <row r="21" spans="1:12">
      <c r="A21" s="152">
        <v>46.646000000000001</v>
      </c>
      <c r="B21" s="152">
        <v>43</v>
      </c>
      <c r="C21" s="152" t="str">
        <f t="shared" si="0"/>
        <v>Middle Spend ($45,000 - $66,000)</v>
      </c>
    </row>
    <row r="22" spans="1:12">
      <c r="A22" s="152">
        <v>32.247999999999998</v>
      </c>
      <c r="B22" s="152">
        <v>50</v>
      </c>
      <c r="C22" s="152" t="str">
        <f t="shared" si="0"/>
        <v>Lower-Middle Spend ($23,000 - $44,000)</v>
      </c>
    </row>
    <row r="23" spans="1:12">
      <c r="A23" s="152">
        <v>71.543000000000006</v>
      </c>
      <c r="B23" s="152">
        <v>75</v>
      </c>
      <c r="C23" s="152" t="str">
        <f t="shared" si="0"/>
        <v>Upper-Middle Spend ($67,000 - $88,000)</v>
      </c>
    </row>
    <row r="24" spans="1:12">
      <c r="A24" s="152">
        <v>37.268999999999998</v>
      </c>
      <c r="B24" s="152">
        <v>31</v>
      </c>
      <c r="C24" s="152" t="str">
        <f t="shared" si="0"/>
        <v>Lower-Middle Spend ($23,000 - $44,000)</v>
      </c>
      <c r="F24" s="221" t="s">
        <v>650</v>
      </c>
      <c r="G24" s="221"/>
      <c r="H24" s="221"/>
      <c r="I24" s="221"/>
      <c r="J24" s="221"/>
    </row>
    <row r="25" spans="1:12">
      <c r="A25" s="152">
        <v>34.418999999999997</v>
      </c>
      <c r="B25" s="152">
        <v>64</v>
      </c>
      <c r="C25" s="152" t="str">
        <f t="shared" si="0"/>
        <v>Lower-Middle Spend ($23,000 - $44,000)</v>
      </c>
      <c r="F25" s="226" t="s">
        <v>640</v>
      </c>
      <c r="G25" s="152" t="s">
        <v>641</v>
      </c>
      <c r="H25" s="152" t="s">
        <v>643</v>
      </c>
      <c r="I25" s="152" t="s">
        <v>654</v>
      </c>
      <c r="J25"/>
    </row>
    <row r="26" spans="1:12">
      <c r="A26" s="152">
        <v>62.975000000000001</v>
      </c>
      <c r="B26" s="152">
        <v>40</v>
      </c>
      <c r="C26" s="152" t="str">
        <f t="shared" si="0"/>
        <v>Middle Spend ($45,000 - $66,000)</v>
      </c>
      <c r="F26" s="227" t="s">
        <v>644</v>
      </c>
      <c r="G26" s="228">
        <v>1135</v>
      </c>
      <c r="H26" s="228">
        <v>97.773499999999984</v>
      </c>
      <c r="I26" s="228">
        <v>16</v>
      </c>
      <c r="J26"/>
    </row>
    <row r="27" spans="1:12">
      <c r="A27" s="152">
        <v>51.877000000000002</v>
      </c>
      <c r="B27" s="152">
        <v>62</v>
      </c>
      <c r="C27" s="152" t="str">
        <f t="shared" si="0"/>
        <v>Middle Spend ($45,000 - $66,000)</v>
      </c>
      <c r="F27" s="227" t="s">
        <v>645</v>
      </c>
      <c r="G27" s="228">
        <v>2180</v>
      </c>
      <c r="H27" s="228">
        <v>14.814269230769225</v>
      </c>
      <c r="I27" s="228">
        <v>52</v>
      </c>
      <c r="J27"/>
    </row>
    <row r="28" spans="1:12">
      <c r="A28" s="152">
        <v>38.255000000000003</v>
      </c>
      <c r="B28" s="152">
        <v>13</v>
      </c>
      <c r="C28" s="152" t="str">
        <f t="shared" si="0"/>
        <v>Lower-Middle Spend ($23,000 - $44,000)</v>
      </c>
      <c r="F28" s="227" t="s">
        <v>646</v>
      </c>
      <c r="G28" s="228">
        <v>5512</v>
      </c>
      <c r="H28" s="228">
        <v>32.961958677685942</v>
      </c>
      <c r="I28" s="228">
        <v>121</v>
      </c>
      <c r="J28"/>
    </row>
    <row r="29" spans="1:12">
      <c r="A29" s="152">
        <v>20.73</v>
      </c>
      <c r="B29" s="152">
        <v>68</v>
      </c>
      <c r="C29" s="152" t="str">
        <f t="shared" si="0"/>
        <v>Low Spend (&lt;$22,000)</v>
      </c>
      <c r="F29" s="227" t="s">
        <v>647</v>
      </c>
      <c r="G29" s="228">
        <v>6680</v>
      </c>
      <c r="H29" s="228">
        <v>54.27668548387097</v>
      </c>
      <c r="I29" s="228">
        <v>124</v>
      </c>
      <c r="J29"/>
    </row>
    <row r="30" spans="1:12">
      <c r="A30" s="152">
        <v>42.258000000000003</v>
      </c>
      <c r="B30" s="152">
        <v>68</v>
      </c>
      <c r="C30" s="152" t="str">
        <f t="shared" si="0"/>
        <v>Lower-Middle Spend ($23,000 - $44,000)</v>
      </c>
      <c r="F30" s="227" t="s">
        <v>648</v>
      </c>
      <c r="G30" s="228">
        <v>149</v>
      </c>
      <c r="H30" s="228">
        <v>135.99349999999998</v>
      </c>
      <c r="I30" s="228">
        <v>2</v>
      </c>
      <c r="J30"/>
    </row>
    <row r="31" spans="1:12">
      <c r="A31" s="152">
        <v>66.81</v>
      </c>
      <c r="B31" s="152">
        <v>32</v>
      </c>
      <c r="C31" s="152" t="str">
        <f t="shared" si="0"/>
        <v>Upper-Middle Spend ($67,000 - $88,000)</v>
      </c>
      <c r="F31" s="227" t="s">
        <v>649</v>
      </c>
      <c r="G31" s="228">
        <v>5099</v>
      </c>
      <c r="H31" s="228">
        <v>75.008082352941187</v>
      </c>
      <c r="I31" s="228">
        <v>85</v>
      </c>
      <c r="J31"/>
    </row>
    <row r="32" spans="1:12">
      <c r="A32" s="152">
        <v>8.32</v>
      </c>
      <c r="B32" s="152">
        <v>51</v>
      </c>
      <c r="C32" s="152" t="str">
        <f t="shared" si="0"/>
        <v>Low Spend (&lt;$22,000)</v>
      </c>
      <c r="F32" s="227" t="s">
        <v>564</v>
      </c>
      <c r="G32" s="228">
        <v>20755</v>
      </c>
      <c r="H32" s="228">
        <v>49.252744999999997</v>
      </c>
      <c r="I32" s="228">
        <v>400</v>
      </c>
      <c r="J32"/>
    </row>
    <row r="33" spans="1:8">
      <c r="A33" s="152">
        <v>76.06</v>
      </c>
      <c r="B33" s="152">
        <v>39</v>
      </c>
      <c r="C33" s="152" t="str">
        <f t="shared" si="0"/>
        <v>Upper-Middle Spend ($67,000 - $88,000)</v>
      </c>
    </row>
    <row r="34" spans="1:8">
      <c r="A34" s="152">
        <v>69.683000000000007</v>
      </c>
      <c r="B34" s="152">
        <v>48</v>
      </c>
      <c r="C34" s="152" t="str">
        <f t="shared" si="0"/>
        <v>Upper-Middle Spend ($67,000 - $88,000)</v>
      </c>
    </row>
    <row r="35" spans="1:8">
      <c r="A35" s="152">
        <v>12.763</v>
      </c>
      <c r="B35" s="152">
        <v>12</v>
      </c>
      <c r="C35" s="152" t="str">
        <f t="shared" si="0"/>
        <v>Low Spend (&lt;$22,000)</v>
      </c>
    </row>
    <row r="36" spans="1:8">
      <c r="A36" s="152">
        <v>71.554000000000002</v>
      </c>
      <c r="B36" s="152">
        <v>101</v>
      </c>
      <c r="C36" s="152" t="str">
        <f t="shared" si="0"/>
        <v>Upper-Middle Spend ($67,000 - $88,000)</v>
      </c>
    </row>
    <row r="37" spans="1:8">
      <c r="A37" s="152">
        <v>25.687000000000001</v>
      </c>
      <c r="B37" s="152">
        <v>18</v>
      </c>
      <c r="C37" s="152" t="str">
        <f t="shared" si="0"/>
        <v>Lower-Middle Spend ($23,000 - $44,000)</v>
      </c>
      <c r="G37" s="221" t="s">
        <v>638</v>
      </c>
      <c r="H37" s="221"/>
    </row>
    <row r="38" spans="1:8">
      <c r="A38" s="152">
        <v>79.507999999999996</v>
      </c>
      <c r="B38" s="152">
        <v>12</v>
      </c>
      <c r="C38" s="152" t="str">
        <f t="shared" si="0"/>
        <v>Upper-Middle Spend ($67,000 - $88,000)</v>
      </c>
      <c r="G38" s="150" t="s">
        <v>570</v>
      </c>
      <c r="H38" s="150" t="s">
        <v>527</v>
      </c>
    </row>
    <row r="39" spans="1:8">
      <c r="A39" s="152">
        <v>55.863999999999997</v>
      </c>
      <c r="B39" s="152">
        <v>36</v>
      </c>
      <c r="C39" s="152" t="str">
        <f t="shared" si="0"/>
        <v>Middle Spend ($45,000 - $66,000)</v>
      </c>
      <c r="G39" s="152" t="s">
        <v>568</v>
      </c>
      <c r="H39" s="151">
        <f>CORREL('Customer Data Set'!I:I,'Customer Data Set'!H:H)</f>
        <v>0.28898745525988989</v>
      </c>
    </row>
    <row r="40" spans="1:8">
      <c r="A40" s="152">
        <v>21.869</v>
      </c>
      <c r="B40" s="152">
        <v>51</v>
      </c>
      <c r="C40" s="152" t="str">
        <f t="shared" si="0"/>
        <v>Low Spend (&lt;$22,000)</v>
      </c>
      <c r="G40" s="152" t="s">
        <v>569</v>
      </c>
      <c r="H40" s="151">
        <f>_xlfn.COVARIANCE.S('Customer Data Set'!I:I,'Customer Data Set'!H:H)</f>
        <v>200.05056773182955</v>
      </c>
    </row>
    <row r="41" spans="1:8">
      <c r="A41" s="152">
        <v>48.048999999999999</v>
      </c>
      <c r="B41" s="152">
        <v>43</v>
      </c>
      <c r="C41" s="152" t="str">
        <f t="shared" si="0"/>
        <v>Middle Spend ($45,000 - $66,000)</v>
      </c>
    </row>
    <row r="42" spans="1:8">
      <c r="A42" s="152">
        <v>56.99</v>
      </c>
      <c r="B42" s="152">
        <v>14</v>
      </c>
      <c r="C42" s="152" t="str">
        <f t="shared" si="0"/>
        <v>Middle Spend ($45,000 - $66,000)</v>
      </c>
    </row>
    <row r="43" spans="1:8" ht="19">
      <c r="A43" s="152">
        <v>56.372999999999998</v>
      </c>
      <c r="B43" s="152">
        <v>26</v>
      </c>
      <c r="C43" s="152" t="str">
        <f t="shared" si="0"/>
        <v>Middle Spend ($45,000 - $66,000)</v>
      </c>
      <c r="G43" s="236" t="s">
        <v>652</v>
      </c>
      <c r="H43" s="236"/>
    </row>
    <row r="44" spans="1:8">
      <c r="A44" s="152">
        <v>44.795000000000002</v>
      </c>
      <c r="B44" s="152">
        <v>32</v>
      </c>
      <c r="C44" s="152" t="str">
        <f t="shared" si="0"/>
        <v>Middle Spend ($45,000 - $66,000)</v>
      </c>
    </row>
    <row r="45" spans="1:8">
      <c r="A45" s="152">
        <v>22.158000000000001</v>
      </c>
      <c r="B45" s="152">
        <v>22</v>
      </c>
      <c r="C45" s="152" t="str">
        <f t="shared" si="0"/>
        <v>Lower-Middle Spend ($23,000 - $44,000)</v>
      </c>
    </row>
    <row r="46" spans="1:8">
      <c r="A46" s="152">
        <v>59.811999999999998</v>
      </c>
      <c r="B46" s="152">
        <v>80</v>
      </c>
      <c r="C46" s="152" t="str">
        <f t="shared" si="0"/>
        <v>Middle Spend ($45,000 - $66,000)</v>
      </c>
    </row>
    <row r="47" spans="1:8">
      <c r="A47" s="152">
        <v>28.178000000000001</v>
      </c>
      <c r="B47" s="152">
        <v>58</v>
      </c>
      <c r="C47" s="152" t="str">
        <f t="shared" si="0"/>
        <v>Lower-Middle Spend ($23,000 - $44,000)</v>
      </c>
    </row>
    <row r="48" spans="1:8">
      <c r="A48" s="152">
        <v>30.478000000000002</v>
      </c>
      <c r="B48" s="152">
        <v>88</v>
      </c>
      <c r="C48" s="152" t="str">
        <f t="shared" si="0"/>
        <v>Lower-Middle Spend ($23,000 - $44,000)</v>
      </c>
    </row>
    <row r="49" spans="1:11">
      <c r="A49" s="152">
        <v>33.076000000000001</v>
      </c>
      <c r="B49" s="152">
        <v>98</v>
      </c>
      <c r="C49" s="152" t="str">
        <f t="shared" si="0"/>
        <v>Lower-Middle Spend ($23,000 - $44,000)</v>
      </c>
    </row>
    <row r="50" spans="1:11">
      <c r="A50" s="152">
        <v>38.529000000000003</v>
      </c>
      <c r="B50" s="152">
        <v>27</v>
      </c>
      <c r="C50" s="152" t="str">
        <f t="shared" si="0"/>
        <v>Lower-Middle Spend ($23,000 - $44,000)</v>
      </c>
    </row>
    <row r="51" spans="1:11">
      <c r="A51" s="152">
        <v>25.236000000000001</v>
      </c>
      <c r="B51" s="152">
        <v>43</v>
      </c>
      <c r="C51" s="152" t="str">
        <f t="shared" si="0"/>
        <v>Lower-Middle Spend ($23,000 - $44,000)</v>
      </c>
    </row>
    <row r="52" spans="1:11">
      <c r="A52" s="152">
        <v>43.134</v>
      </c>
      <c r="B52" s="152">
        <v>90</v>
      </c>
      <c r="C52" s="152" t="str">
        <f t="shared" si="0"/>
        <v>Lower-Middle Spend ($23,000 - $44,000)</v>
      </c>
    </row>
    <row r="53" spans="1:11" ht="17" thickBot="1">
      <c r="A53" s="152">
        <v>40.027999999999999</v>
      </c>
      <c r="B53" s="152">
        <v>89</v>
      </c>
      <c r="C53" s="152" t="str">
        <f t="shared" si="0"/>
        <v>Lower-Middle Spend ($23,000 - $44,000)</v>
      </c>
    </row>
    <row r="54" spans="1:11">
      <c r="A54" s="152">
        <v>18.603000000000002</v>
      </c>
      <c r="B54" s="152">
        <v>14</v>
      </c>
      <c r="C54" s="152" t="str">
        <f t="shared" si="0"/>
        <v>Low Spend (&lt;$22,000)</v>
      </c>
      <c r="G54" s="229"/>
      <c r="H54" s="229"/>
      <c r="J54" s="229"/>
      <c r="K54" s="229"/>
    </row>
    <row r="55" spans="1:11">
      <c r="A55" s="152">
        <v>29.172999999999998</v>
      </c>
      <c r="B55" s="152">
        <v>75</v>
      </c>
      <c r="C55" s="152" t="str">
        <f t="shared" si="0"/>
        <v>Lower-Middle Spend ($23,000 - $44,000)</v>
      </c>
      <c r="G55" s="230"/>
      <c r="H55" s="230"/>
      <c r="J55" s="230"/>
      <c r="K55" s="230"/>
    </row>
    <row r="56" spans="1:11">
      <c r="A56" s="152">
        <v>36.603000000000002</v>
      </c>
      <c r="B56" s="152">
        <v>14</v>
      </c>
      <c r="C56" s="152" t="str">
        <f t="shared" si="0"/>
        <v>Lower-Middle Spend ($23,000 - $44,000)</v>
      </c>
      <c r="G56" s="230"/>
      <c r="H56" s="231"/>
      <c r="J56" s="230"/>
      <c r="K56" s="230"/>
    </row>
    <row r="57" spans="1:11">
      <c r="A57" s="152">
        <v>73.004000000000005</v>
      </c>
      <c r="B57" s="152">
        <v>25</v>
      </c>
      <c r="C57" s="152" t="str">
        <f t="shared" si="0"/>
        <v>Upper-Middle Spend ($67,000 - $88,000)</v>
      </c>
      <c r="G57" s="230"/>
      <c r="H57" s="231"/>
      <c r="J57" s="230"/>
      <c r="K57" s="230"/>
    </row>
    <row r="58" spans="1:11">
      <c r="A58" s="152">
        <v>56.515000000000001</v>
      </c>
      <c r="B58" s="152">
        <v>18</v>
      </c>
      <c r="C58" s="152" t="str">
        <f t="shared" si="0"/>
        <v>Middle Spend ($45,000 - $66,000)</v>
      </c>
      <c r="G58" s="230"/>
      <c r="H58" s="231"/>
      <c r="J58" s="230"/>
      <c r="K58" s="230"/>
    </row>
    <row r="59" spans="1:11">
      <c r="A59" s="152">
        <v>61.512</v>
      </c>
      <c r="B59" s="152">
        <v>68</v>
      </c>
      <c r="C59" s="152" t="str">
        <f t="shared" si="0"/>
        <v>Middle Spend ($45,000 - $66,000)</v>
      </c>
      <c r="G59" s="230"/>
      <c r="H59" s="231"/>
      <c r="J59" s="230"/>
      <c r="K59" s="230"/>
    </row>
    <row r="60" spans="1:11">
      <c r="A60" s="152">
        <v>80.498000000000005</v>
      </c>
      <c r="B60" s="152">
        <v>100</v>
      </c>
      <c r="C60" s="152" t="str">
        <f t="shared" si="0"/>
        <v>Upper-Middle Spend ($67,000 - $88,000)</v>
      </c>
      <c r="G60" s="230"/>
      <c r="H60" s="231"/>
      <c r="J60" s="230"/>
      <c r="K60" s="230"/>
    </row>
    <row r="61" spans="1:11">
      <c r="A61" s="152">
        <v>27.545999999999999</v>
      </c>
      <c r="B61" s="152">
        <v>42</v>
      </c>
      <c r="C61" s="152" t="str">
        <f t="shared" si="0"/>
        <v>Lower-Middle Spend ($23,000 - $44,000)</v>
      </c>
      <c r="G61" s="230"/>
      <c r="H61" s="231"/>
      <c r="J61" s="230"/>
      <c r="K61" s="230"/>
    </row>
    <row r="62" spans="1:11">
      <c r="A62" s="152">
        <v>69.968000000000004</v>
      </c>
      <c r="B62" s="152">
        <v>50</v>
      </c>
      <c r="C62" s="152" t="str">
        <f t="shared" si="0"/>
        <v>Upper-Middle Spend ($67,000 - $88,000)</v>
      </c>
      <c r="G62" s="230"/>
      <c r="H62" s="231"/>
      <c r="J62" s="230"/>
      <c r="K62" s="230"/>
    </row>
    <row r="63" spans="1:11">
      <c r="A63" s="152">
        <v>79.772000000000006</v>
      </c>
      <c r="B63" s="152">
        <v>31</v>
      </c>
      <c r="C63" s="152" t="str">
        <f t="shared" si="0"/>
        <v>Upper-Middle Spend ($67,000 - $88,000)</v>
      </c>
      <c r="G63" s="230"/>
      <c r="H63" s="231"/>
      <c r="J63" s="230"/>
      <c r="K63" s="230"/>
    </row>
    <row r="64" spans="1:11">
      <c r="A64" s="152">
        <v>25.855</v>
      </c>
      <c r="B64" s="152">
        <v>40</v>
      </c>
      <c r="C64" s="152" t="str">
        <f t="shared" si="0"/>
        <v>Lower-Middle Spend ($23,000 - $44,000)</v>
      </c>
      <c r="G64" s="230"/>
      <c r="H64" s="231"/>
      <c r="J64" s="230"/>
      <c r="K64" s="230"/>
    </row>
    <row r="65" spans="1:11">
      <c r="A65" s="152">
        <v>19.073</v>
      </c>
      <c r="B65" s="152">
        <v>15</v>
      </c>
      <c r="C65" s="152" t="str">
        <f t="shared" si="0"/>
        <v>Low Spend (&lt;$22,000)</v>
      </c>
      <c r="G65" s="230"/>
      <c r="H65" s="231"/>
      <c r="J65" s="230"/>
      <c r="K65" s="230"/>
    </row>
    <row r="66" spans="1:11">
      <c r="A66" s="152">
        <v>26.183</v>
      </c>
      <c r="B66" s="152">
        <v>84</v>
      </c>
      <c r="C66" s="152" t="str">
        <f t="shared" si="0"/>
        <v>Lower-Middle Spend ($23,000 - $44,000)</v>
      </c>
      <c r="G66" s="230"/>
      <c r="H66" s="231"/>
      <c r="J66" s="230"/>
      <c r="K66" s="230"/>
    </row>
    <row r="67" spans="1:11">
      <c r="A67" s="152">
        <v>13.362</v>
      </c>
      <c r="B67" s="152">
        <v>71</v>
      </c>
      <c r="C67" s="152" t="str">
        <f t="shared" ref="C67:C130" si="1">IF(A67&lt;22, "Low Spend (&lt;$22,000)", IF(A67&lt;=44, "Lower-Middle Spend ($23,000 - $44,000)", IF(A67&lt;=66, "Middle Spend ($45,000 - $66,000)", IF(A67&lt;=88, "Upper-Middle Spend ($67,000 - $88,000)", IF(A67&lt;=132, "High Spend ($89,000 - $132,000)", "Premium Spend (&gt;$132,000)")))))</f>
        <v>Low Spend (&lt;$22,000)</v>
      </c>
      <c r="G67" s="230"/>
      <c r="H67" s="231"/>
      <c r="J67" s="230"/>
      <c r="K67" s="230"/>
    </row>
    <row r="68" spans="1:11" ht="17" thickBot="1">
      <c r="A68" s="152">
        <v>68.884</v>
      </c>
      <c r="B68" s="152">
        <v>57</v>
      </c>
      <c r="C68" s="152" t="str">
        <f t="shared" si="1"/>
        <v>Upper-Middle Spend ($67,000 - $88,000)</v>
      </c>
      <c r="G68" s="232"/>
      <c r="H68" s="233"/>
      <c r="J68" s="232"/>
      <c r="K68" s="232"/>
    </row>
    <row r="69" spans="1:11">
      <c r="A69" s="152">
        <v>9.5280000000000005</v>
      </c>
      <c r="B69" s="152">
        <v>8</v>
      </c>
      <c r="C69" s="152" t="str">
        <f t="shared" si="1"/>
        <v>Low Spend (&lt;$22,000)</v>
      </c>
    </row>
    <row r="70" spans="1:11">
      <c r="A70" s="152">
        <v>88.766999999999996</v>
      </c>
      <c r="B70" s="152">
        <v>96</v>
      </c>
      <c r="C70" s="152" t="str">
        <f t="shared" si="1"/>
        <v>High Spend ($89,000 - $132,000)</v>
      </c>
    </row>
    <row r="71" spans="1:11">
      <c r="A71" s="152">
        <v>68.938000000000002</v>
      </c>
      <c r="B71" s="152">
        <v>57</v>
      </c>
      <c r="C71" s="152" t="str">
        <f t="shared" si="1"/>
        <v>Upper-Middle Spend ($67,000 - $88,000)</v>
      </c>
    </row>
    <row r="72" spans="1:11">
      <c r="A72" s="152">
        <v>35.783000000000001</v>
      </c>
      <c r="B72" s="152">
        <v>19</v>
      </c>
      <c r="C72" s="152" t="str">
        <f t="shared" si="1"/>
        <v>Lower-Middle Spend ($23,000 - $44,000)</v>
      </c>
    </row>
    <row r="73" spans="1:11">
      <c r="A73" s="152">
        <v>68.212000000000003</v>
      </c>
      <c r="B73" s="152">
        <v>48</v>
      </c>
      <c r="C73" s="152" t="str">
        <f t="shared" si="1"/>
        <v>Upper-Middle Spend ($67,000 - $88,000)</v>
      </c>
    </row>
    <row r="74" spans="1:11">
      <c r="A74" s="152">
        <v>55.284999999999997</v>
      </c>
      <c r="B74" s="152">
        <v>53</v>
      </c>
      <c r="C74" s="152" t="str">
        <f t="shared" si="1"/>
        <v>Middle Spend ($45,000 - $66,000)</v>
      </c>
    </row>
    <row r="75" spans="1:11">
      <c r="A75" s="152">
        <v>32.976999999999997</v>
      </c>
      <c r="B75" s="152">
        <v>44</v>
      </c>
      <c r="C75" s="152" t="str">
        <f t="shared" si="1"/>
        <v>Lower-Middle Spend ($23,000 - $44,000)</v>
      </c>
    </row>
    <row r="76" spans="1:11">
      <c r="A76" s="152">
        <v>44.139000000000003</v>
      </c>
      <c r="B76" s="152">
        <v>80</v>
      </c>
      <c r="C76" s="152" t="str">
        <f t="shared" si="1"/>
        <v>Middle Spend ($45,000 - $66,000)</v>
      </c>
    </row>
    <row r="77" spans="1:11">
      <c r="A77" s="152">
        <v>24.19</v>
      </c>
      <c r="B77" s="152">
        <v>20</v>
      </c>
      <c r="C77" s="152" t="str">
        <f t="shared" si="1"/>
        <v>Lower-Middle Spend ($23,000 - $44,000)</v>
      </c>
    </row>
    <row r="78" spans="1:11">
      <c r="A78" s="152">
        <v>11.8</v>
      </c>
      <c r="B78" s="152">
        <v>38</v>
      </c>
      <c r="C78" s="152" t="str">
        <f t="shared" si="1"/>
        <v>Low Spend (&lt;$22,000)</v>
      </c>
    </row>
    <row r="79" spans="1:11">
      <c r="A79" s="152">
        <v>41.859000000000002</v>
      </c>
      <c r="B79" s="152">
        <v>36</v>
      </c>
      <c r="C79" s="152" t="str">
        <f t="shared" si="1"/>
        <v>Lower-Middle Spend ($23,000 - $44,000)</v>
      </c>
    </row>
    <row r="80" spans="1:11">
      <c r="A80" s="152">
        <v>35.222999999999999</v>
      </c>
      <c r="B80" s="152">
        <v>41</v>
      </c>
      <c r="C80" s="152" t="str">
        <f t="shared" si="1"/>
        <v>Lower-Middle Spend ($23,000 - $44,000)</v>
      </c>
    </row>
    <row r="81" spans="1:8">
      <c r="A81" s="152">
        <v>58.381</v>
      </c>
      <c r="B81" s="152">
        <v>83</v>
      </c>
      <c r="C81" s="152" t="str">
        <f t="shared" si="1"/>
        <v>Middle Spend ($45,000 - $66,000)</v>
      </c>
    </row>
    <row r="82" spans="1:8">
      <c r="A82" s="152">
        <v>33.25</v>
      </c>
      <c r="B82" s="152">
        <v>74</v>
      </c>
      <c r="C82" s="152" t="str">
        <f t="shared" si="1"/>
        <v>Lower-Middle Spend ($23,000 - $44,000)</v>
      </c>
    </row>
    <row r="83" spans="1:8">
      <c r="A83" s="152">
        <v>70.576999999999998</v>
      </c>
      <c r="B83" s="152">
        <v>99</v>
      </c>
      <c r="C83" s="152" t="str">
        <f t="shared" si="1"/>
        <v>Upper-Middle Spend ($67,000 - $88,000)</v>
      </c>
    </row>
    <row r="84" spans="1:8">
      <c r="A84" s="152">
        <v>37.936999999999998</v>
      </c>
      <c r="B84" s="152">
        <v>44</v>
      </c>
      <c r="C84" s="152" t="str">
        <f t="shared" si="1"/>
        <v>Lower-Middle Spend ($23,000 - $44,000)</v>
      </c>
    </row>
    <row r="85" spans="1:8" ht="19">
      <c r="A85" s="152">
        <v>83.709000000000003</v>
      </c>
      <c r="B85" s="152">
        <v>45</v>
      </c>
      <c r="C85" s="152" t="str">
        <f t="shared" si="1"/>
        <v>Upper-Middle Spend ($67,000 - $88,000)</v>
      </c>
      <c r="G85" s="236" t="s">
        <v>653</v>
      </c>
      <c r="H85" s="236"/>
    </row>
    <row r="86" spans="1:8">
      <c r="A86" s="152">
        <v>54.889000000000003</v>
      </c>
      <c r="B86" s="152">
        <v>33</v>
      </c>
      <c r="C86" s="152" t="str">
        <f t="shared" si="1"/>
        <v>Middle Spend ($45,000 - $66,000)</v>
      </c>
    </row>
    <row r="87" spans="1:8">
      <c r="A87" s="152">
        <v>59.725999999999999</v>
      </c>
      <c r="B87" s="152">
        <v>67</v>
      </c>
      <c r="C87" s="152" t="str">
        <f t="shared" si="1"/>
        <v>Middle Spend ($45,000 - $66,000)</v>
      </c>
    </row>
    <row r="88" spans="1:8">
      <c r="A88" s="152">
        <v>32.404000000000003</v>
      </c>
      <c r="B88" s="152">
        <v>18</v>
      </c>
      <c r="C88" s="152" t="str">
        <f t="shared" si="1"/>
        <v>Lower-Middle Spend ($23,000 - $44,000)</v>
      </c>
    </row>
    <row r="89" spans="1:8">
      <c r="A89" s="152">
        <v>67.697000000000003</v>
      </c>
      <c r="B89" s="152">
        <v>38</v>
      </c>
      <c r="C89" s="152" t="str">
        <f t="shared" si="1"/>
        <v>Upper-Middle Spend ($67,000 - $88,000)</v>
      </c>
    </row>
    <row r="90" spans="1:8">
      <c r="A90" s="152">
        <v>73.944999999999993</v>
      </c>
      <c r="B90" s="152">
        <v>90</v>
      </c>
      <c r="C90" s="152" t="str">
        <f t="shared" si="1"/>
        <v>Upper-Middle Spend ($67,000 - $88,000)</v>
      </c>
    </row>
    <row r="91" spans="1:8">
      <c r="A91" s="152">
        <v>43.927999999999997</v>
      </c>
      <c r="B91" s="152">
        <v>49</v>
      </c>
      <c r="C91" s="152" t="str">
        <f t="shared" si="1"/>
        <v>Lower-Middle Spend ($23,000 - $44,000)</v>
      </c>
    </row>
    <row r="92" spans="1:8">
      <c r="A92" s="152">
        <v>61.006</v>
      </c>
      <c r="B92" s="152">
        <v>63</v>
      </c>
      <c r="C92" s="152" t="str">
        <f t="shared" si="1"/>
        <v>Middle Spend ($45,000 - $66,000)</v>
      </c>
    </row>
    <row r="93" spans="1:8">
      <c r="A93" s="152">
        <v>35.479999999999997</v>
      </c>
      <c r="B93" s="152">
        <v>8</v>
      </c>
      <c r="C93" s="152" t="str">
        <f t="shared" si="1"/>
        <v>Lower-Middle Spend ($23,000 - $44,000)</v>
      </c>
    </row>
    <row r="94" spans="1:8">
      <c r="A94" s="152">
        <v>68.980999999999995</v>
      </c>
      <c r="B94" s="152">
        <v>49</v>
      </c>
      <c r="C94" s="152" t="str">
        <f t="shared" si="1"/>
        <v>Upper-Middle Spend ($67,000 - $88,000)</v>
      </c>
    </row>
    <row r="95" spans="1:8">
      <c r="A95" s="152">
        <v>43.146000000000001</v>
      </c>
      <c r="B95" s="152">
        <v>20</v>
      </c>
      <c r="C95" s="152" t="str">
        <f t="shared" si="1"/>
        <v>Lower-Middle Spend ($23,000 - $44,000)</v>
      </c>
    </row>
    <row r="96" spans="1:8">
      <c r="A96" s="152">
        <v>78.716999999999999</v>
      </c>
      <c r="B96" s="152">
        <v>89</v>
      </c>
      <c r="C96" s="152" t="str">
        <f t="shared" si="1"/>
        <v>Upper-Middle Spend ($67,000 - $88,000)</v>
      </c>
    </row>
    <row r="97" spans="1:3">
      <c r="A97" s="152">
        <v>25.960999999999999</v>
      </c>
      <c r="B97" s="152">
        <v>83</v>
      </c>
      <c r="C97" s="152" t="str">
        <f t="shared" si="1"/>
        <v>Lower-Middle Spend ($23,000 - $44,000)</v>
      </c>
    </row>
    <row r="98" spans="1:3">
      <c r="A98" s="152">
        <v>84.213999999999999</v>
      </c>
      <c r="B98" s="152">
        <v>26</v>
      </c>
      <c r="C98" s="152" t="str">
        <f t="shared" si="1"/>
        <v>Upper-Middle Spend ($67,000 - $88,000)</v>
      </c>
    </row>
    <row r="99" spans="1:3">
      <c r="A99" s="152">
        <v>44.106999999999999</v>
      </c>
      <c r="B99" s="152">
        <v>42</v>
      </c>
      <c r="C99" s="152" t="str">
        <f t="shared" si="1"/>
        <v>Middle Spend ($45,000 - $66,000)</v>
      </c>
    </row>
    <row r="100" spans="1:3">
      <c r="A100" s="152">
        <v>66.272000000000006</v>
      </c>
      <c r="B100" s="152">
        <v>43</v>
      </c>
      <c r="C100" s="152" t="str">
        <f t="shared" si="1"/>
        <v>Upper-Middle Spend ($67,000 - $88,000)</v>
      </c>
    </row>
    <row r="101" spans="1:3">
      <c r="A101" s="152">
        <v>61.655999999999999</v>
      </c>
      <c r="B101" s="152">
        <v>46</v>
      </c>
      <c r="C101" s="152" t="str">
        <f t="shared" si="1"/>
        <v>Middle Spend ($45,000 - $66,000)</v>
      </c>
    </row>
    <row r="102" spans="1:3">
      <c r="A102" s="152">
        <v>62.750999999999998</v>
      </c>
      <c r="B102" s="152">
        <v>30</v>
      </c>
      <c r="C102" s="152" t="str">
        <f t="shared" si="1"/>
        <v>Middle Spend ($45,000 - $66,000)</v>
      </c>
    </row>
    <row r="103" spans="1:3">
      <c r="A103" s="152">
        <v>67.902000000000001</v>
      </c>
      <c r="B103" s="152">
        <v>32</v>
      </c>
      <c r="C103" s="152" t="str">
        <f t="shared" si="1"/>
        <v>Upper-Middle Spend ($67,000 - $88,000)</v>
      </c>
    </row>
    <row r="104" spans="1:3">
      <c r="A104" s="152">
        <v>26.847999999999999</v>
      </c>
      <c r="B104" s="152">
        <v>6</v>
      </c>
      <c r="C104" s="152" t="str">
        <f t="shared" si="1"/>
        <v>Lower-Middle Spend ($23,000 - $44,000)</v>
      </c>
    </row>
    <row r="105" spans="1:3">
      <c r="A105" s="152">
        <v>70.77</v>
      </c>
      <c r="B105" s="152">
        <v>85</v>
      </c>
      <c r="C105" s="152" t="str">
        <f t="shared" si="1"/>
        <v>Upper-Middle Spend ($67,000 - $88,000)</v>
      </c>
    </row>
    <row r="106" spans="1:3">
      <c r="A106" s="152">
        <v>60.732999999999997</v>
      </c>
      <c r="B106" s="152">
        <v>78</v>
      </c>
      <c r="C106" s="152" t="str">
        <f t="shared" si="1"/>
        <v>Middle Spend ($45,000 - $66,000)</v>
      </c>
    </row>
    <row r="107" spans="1:3">
      <c r="A107" s="152">
        <v>40.055</v>
      </c>
      <c r="B107" s="152">
        <v>42</v>
      </c>
      <c r="C107" s="152" t="str">
        <f t="shared" si="1"/>
        <v>Lower-Middle Spend ($23,000 - $44,000)</v>
      </c>
    </row>
    <row r="108" spans="1:3">
      <c r="A108" s="152">
        <v>105.56</v>
      </c>
      <c r="B108" s="152">
        <v>42</v>
      </c>
      <c r="C108" s="152" t="str">
        <f t="shared" si="1"/>
        <v>High Spend ($89,000 - $132,000)</v>
      </c>
    </row>
    <row r="109" spans="1:3">
      <c r="A109" s="152">
        <v>76.233000000000004</v>
      </c>
      <c r="B109" s="152">
        <v>5</v>
      </c>
      <c r="C109" s="152" t="str">
        <f t="shared" si="1"/>
        <v>Upper-Middle Spend ($67,000 - $88,000)</v>
      </c>
    </row>
    <row r="110" spans="1:3">
      <c r="A110" s="152">
        <v>66.096999999999994</v>
      </c>
      <c r="B110" s="152">
        <v>60</v>
      </c>
      <c r="C110" s="152" t="str">
        <f t="shared" si="1"/>
        <v>Upper-Middle Spend ($67,000 - $88,000)</v>
      </c>
    </row>
    <row r="111" spans="1:3">
      <c r="A111" s="152">
        <v>23.646000000000001</v>
      </c>
      <c r="B111" s="152">
        <v>14</v>
      </c>
      <c r="C111" s="152" t="str">
        <f t="shared" si="1"/>
        <v>Lower-Middle Spend ($23,000 - $44,000)</v>
      </c>
    </row>
    <row r="112" spans="1:3">
      <c r="A112" s="152">
        <v>27.632999999999999</v>
      </c>
      <c r="B112" s="152">
        <v>17</v>
      </c>
      <c r="C112" s="152" t="str">
        <f t="shared" si="1"/>
        <v>Lower-Middle Spend ($23,000 - $44,000)</v>
      </c>
    </row>
    <row r="113" spans="1:3">
      <c r="A113" s="152">
        <v>83.396000000000001</v>
      </c>
      <c r="B113" s="152">
        <v>108</v>
      </c>
      <c r="C113" s="152" t="str">
        <f t="shared" si="1"/>
        <v>Upper-Middle Spend ($67,000 - $88,000)</v>
      </c>
    </row>
    <row r="114" spans="1:3">
      <c r="A114" s="152">
        <v>56.95</v>
      </c>
      <c r="B114" s="152">
        <v>75</v>
      </c>
      <c r="C114" s="152" t="str">
        <f t="shared" si="1"/>
        <v>Middle Spend ($45,000 - $66,000)</v>
      </c>
    </row>
    <row r="115" spans="1:3">
      <c r="A115" s="152">
        <v>25.79</v>
      </c>
      <c r="B115" s="152">
        <v>52</v>
      </c>
      <c r="C115" s="152" t="str">
        <f t="shared" si="1"/>
        <v>Lower-Middle Spend ($23,000 - $44,000)</v>
      </c>
    </row>
    <row r="116" spans="1:3">
      <c r="A116" s="152">
        <v>27.190999999999999</v>
      </c>
      <c r="B116" s="152">
        <v>32</v>
      </c>
      <c r="C116" s="152" t="str">
        <f t="shared" si="1"/>
        <v>Lower-Middle Spend ($23,000 - $44,000)</v>
      </c>
    </row>
    <row r="117" spans="1:3">
      <c r="A117" s="152">
        <v>60.615000000000002</v>
      </c>
      <c r="B117" s="152">
        <v>65</v>
      </c>
      <c r="C117" s="152" t="str">
        <f t="shared" si="1"/>
        <v>Middle Spend ($45,000 - $66,000)</v>
      </c>
    </row>
    <row r="118" spans="1:3">
      <c r="A118" s="152">
        <v>16.399999999999999</v>
      </c>
      <c r="B118" s="152">
        <v>57</v>
      </c>
      <c r="C118" s="152" t="str">
        <f t="shared" si="1"/>
        <v>Low Spend (&lt;$22,000)</v>
      </c>
    </row>
    <row r="119" spans="1:3">
      <c r="A119" s="152">
        <v>64.406000000000006</v>
      </c>
      <c r="B119" s="152">
        <v>52</v>
      </c>
      <c r="C119" s="152" t="str">
        <f t="shared" si="1"/>
        <v>Middle Spend ($45,000 - $66,000)</v>
      </c>
    </row>
    <row r="120" spans="1:3">
      <c r="A120" s="152">
        <v>79.677999999999997</v>
      </c>
      <c r="B120" s="152">
        <v>49</v>
      </c>
      <c r="C120" s="152" t="str">
        <f t="shared" si="1"/>
        <v>Upper-Middle Spend ($67,000 - $88,000)</v>
      </c>
    </row>
    <row r="121" spans="1:3">
      <c r="A121" s="152">
        <v>74.650999999999996</v>
      </c>
      <c r="B121" s="152">
        <v>55</v>
      </c>
      <c r="C121" s="152" t="str">
        <f t="shared" si="1"/>
        <v>Upper-Middle Spend ($67,000 - $88,000)</v>
      </c>
    </row>
    <row r="122" spans="1:3">
      <c r="A122" s="152">
        <v>86.753</v>
      </c>
      <c r="B122" s="152">
        <v>107</v>
      </c>
      <c r="C122" s="152" t="str">
        <f t="shared" si="1"/>
        <v>Upper-Middle Spend ($67,000 - $88,000)</v>
      </c>
    </row>
    <row r="123" spans="1:3">
      <c r="A123" s="152">
        <v>31.524999999999999</v>
      </c>
      <c r="B123" s="152">
        <v>13</v>
      </c>
      <c r="C123" s="152" t="str">
        <f t="shared" si="1"/>
        <v>Lower-Middle Spend ($23,000 - $44,000)</v>
      </c>
    </row>
    <row r="124" spans="1:3">
      <c r="A124" s="152">
        <v>34.079000000000001</v>
      </c>
      <c r="B124" s="152">
        <v>29</v>
      </c>
      <c r="C124" s="152" t="str">
        <f t="shared" si="1"/>
        <v>Lower-Middle Spend ($23,000 - $44,000)</v>
      </c>
    </row>
    <row r="125" spans="1:3">
      <c r="A125" s="152">
        <v>9.74</v>
      </c>
      <c r="B125" s="152">
        <v>10</v>
      </c>
      <c r="C125" s="152" t="str">
        <f t="shared" si="1"/>
        <v>Low Spend (&lt;$22,000)</v>
      </c>
    </row>
    <row r="126" spans="1:3">
      <c r="A126" s="152">
        <v>55.662999999999997</v>
      </c>
      <c r="B126" s="152">
        <v>73</v>
      </c>
      <c r="C126" s="152" t="str">
        <f t="shared" si="1"/>
        <v>Middle Spend ($45,000 - $66,000)</v>
      </c>
    </row>
    <row r="127" spans="1:3">
      <c r="A127" s="152">
        <v>58.087000000000003</v>
      </c>
      <c r="B127" s="152">
        <v>89</v>
      </c>
      <c r="C127" s="152" t="str">
        <f t="shared" si="1"/>
        <v>Middle Spend ($45,000 - $66,000)</v>
      </c>
    </row>
    <row r="128" spans="1:3">
      <c r="A128" s="152">
        <v>45.101999999999997</v>
      </c>
      <c r="B128" s="152">
        <v>11</v>
      </c>
      <c r="C128" s="152" t="str">
        <f t="shared" si="1"/>
        <v>Middle Spend ($45,000 - $66,000)</v>
      </c>
    </row>
    <row r="129" spans="1:3">
      <c r="A129" s="152">
        <v>54.357999999999997</v>
      </c>
      <c r="B129" s="152">
        <v>46</v>
      </c>
      <c r="C129" s="152" t="str">
        <f t="shared" si="1"/>
        <v>Middle Spend ($45,000 - $66,000)</v>
      </c>
    </row>
    <row r="130" spans="1:3">
      <c r="A130" s="152">
        <v>72.251999999999995</v>
      </c>
      <c r="B130" s="152">
        <v>101</v>
      </c>
      <c r="C130" s="152" t="str">
        <f t="shared" si="1"/>
        <v>Upper-Middle Spend ($67,000 - $88,000)</v>
      </c>
    </row>
    <row r="131" spans="1:3">
      <c r="A131" s="152">
        <v>16.61</v>
      </c>
      <c r="B131" s="152">
        <v>15</v>
      </c>
      <c r="C131" s="152" t="str">
        <f t="shared" ref="C131:C194" si="2">IF(A131&lt;22, "Low Spend (&lt;$22,000)", IF(A131&lt;=44, "Lower-Middle Spend ($23,000 - $44,000)", IF(A131&lt;=66, "Middle Spend ($45,000 - $66,000)", IF(A131&lt;=88, "Upper-Middle Spend ($67,000 - $88,000)", IF(A131&lt;=132, "High Spend ($89,000 - $132,000)", "Premium Spend (&gt;$132,000)")))))</f>
        <v>Low Spend (&lt;$22,000)</v>
      </c>
    </row>
    <row r="132" spans="1:3">
      <c r="A132" s="152">
        <v>21.760999999999999</v>
      </c>
      <c r="B132" s="152">
        <v>85</v>
      </c>
      <c r="C132" s="152" t="str">
        <f t="shared" si="2"/>
        <v>Low Spend (&lt;$22,000)</v>
      </c>
    </row>
    <row r="133" spans="1:3">
      <c r="A133" s="152">
        <v>79.548000000000002</v>
      </c>
      <c r="B133" s="152">
        <v>27</v>
      </c>
      <c r="C133" s="152" t="str">
        <f t="shared" si="2"/>
        <v>Upper-Middle Spend ($67,000 - $88,000)</v>
      </c>
    </row>
    <row r="134" spans="1:3">
      <c r="A134" s="152">
        <v>29.475999999999999</v>
      </c>
      <c r="B134" s="152">
        <v>55</v>
      </c>
      <c r="C134" s="152" t="str">
        <f t="shared" si="2"/>
        <v>Lower-Middle Spend ($23,000 - $44,000)</v>
      </c>
    </row>
    <row r="135" spans="1:3">
      <c r="A135" s="152">
        <v>16.651</v>
      </c>
      <c r="B135" s="152">
        <v>87</v>
      </c>
      <c r="C135" s="152" t="str">
        <f t="shared" si="2"/>
        <v>Low Spend (&lt;$22,000)</v>
      </c>
    </row>
    <row r="136" spans="1:3">
      <c r="A136" s="152">
        <v>39.646999999999998</v>
      </c>
      <c r="B136" s="152">
        <v>46</v>
      </c>
      <c r="C136" s="152" t="str">
        <f t="shared" si="2"/>
        <v>Lower-Middle Spend ($23,000 - $44,000)</v>
      </c>
    </row>
    <row r="137" spans="1:3">
      <c r="A137" s="152">
        <v>69.522999999999996</v>
      </c>
      <c r="B137" s="152">
        <v>81</v>
      </c>
      <c r="C137" s="152" t="str">
        <f t="shared" si="2"/>
        <v>Upper-Middle Spend ($67,000 - $88,000)</v>
      </c>
    </row>
    <row r="138" spans="1:3">
      <c r="A138" s="152">
        <v>76.668000000000006</v>
      </c>
      <c r="B138" s="152">
        <v>68</v>
      </c>
      <c r="C138" s="152" t="str">
        <f t="shared" si="2"/>
        <v>Upper-Middle Spend ($67,000 - $88,000)</v>
      </c>
    </row>
    <row r="139" spans="1:3">
      <c r="A139" s="152">
        <v>137.63999999999999</v>
      </c>
      <c r="B139" s="152">
        <v>87</v>
      </c>
      <c r="C139" s="152" t="str">
        <f t="shared" si="2"/>
        <v>Premium Spend (&gt;$132,000)</v>
      </c>
    </row>
    <row r="140" spans="1:3">
      <c r="A140" s="152">
        <v>63.89</v>
      </c>
      <c r="B140" s="152">
        <v>73</v>
      </c>
      <c r="C140" s="152" t="str">
        <f t="shared" si="2"/>
        <v>Middle Spend ($45,000 - $66,000)</v>
      </c>
    </row>
    <row r="141" spans="1:3">
      <c r="A141" s="152">
        <v>72.155000000000001</v>
      </c>
      <c r="B141" s="152">
        <v>106</v>
      </c>
      <c r="C141" s="152" t="str">
        <f t="shared" si="2"/>
        <v>Upper-Middle Spend ($67,000 - $88,000)</v>
      </c>
    </row>
    <row r="142" spans="1:3">
      <c r="A142" s="152">
        <v>30.177</v>
      </c>
      <c r="B142" s="152">
        <v>26</v>
      </c>
      <c r="C142" s="152" t="str">
        <f t="shared" si="2"/>
        <v>Lower-Middle Spend ($23,000 - $44,000)</v>
      </c>
    </row>
    <row r="143" spans="1:3">
      <c r="A143" s="152">
        <v>49.253</v>
      </c>
      <c r="B143" s="152">
        <v>39</v>
      </c>
      <c r="C143" s="152" t="str">
        <f t="shared" si="2"/>
        <v>Middle Spend ($45,000 - $66,000)</v>
      </c>
    </row>
    <row r="144" spans="1:3">
      <c r="A144" s="152">
        <v>85.275999999999996</v>
      </c>
      <c r="B144" s="152">
        <v>105</v>
      </c>
      <c r="C144" s="152" t="str">
        <f t="shared" si="2"/>
        <v>Upper-Middle Spend ($67,000 - $88,000)</v>
      </c>
    </row>
    <row r="145" spans="1:3">
      <c r="A145" s="152">
        <v>45.779000000000003</v>
      </c>
      <c r="B145" s="152">
        <v>51</v>
      </c>
      <c r="C145" s="152" t="str">
        <f t="shared" si="2"/>
        <v>Middle Spend ($45,000 - $66,000)</v>
      </c>
    </row>
    <row r="146" spans="1:3">
      <c r="A146" s="152">
        <v>56.048000000000002</v>
      </c>
      <c r="B146" s="152">
        <v>67</v>
      </c>
      <c r="C146" s="152" t="str">
        <f t="shared" si="2"/>
        <v>Middle Spend ($45,000 - $66,000)</v>
      </c>
    </row>
    <row r="147" spans="1:3">
      <c r="A147" s="152">
        <v>40.249000000000002</v>
      </c>
      <c r="B147" s="152">
        <v>45</v>
      </c>
      <c r="C147" s="152" t="str">
        <f t="shared" si="2"/>
        <v>Lower-Middle Spend ($23,000 - $44,000)</v>
      </c>
    </row>
    <row r="148" spans="1:3">
      <c r="A148" s="152">
        <v>88.394000000000005</v>
      </c>
      <c r="B148" s="152">
        <v>24</v>
      </c>
      <c r="C148" s="152" t="str">
        <f t="shared" si="2"/>
        <v>High Spend ($89,000 - $132,000)</v>
      </c>
    </row>
    <row r="149" spans="1:3">
      <c r="A149" s="152">
        <v>49.506</v>
      </c>
      <c r="B149" s="152">
        <v>37</v>
      </c>
      <c r="C149" s="152" t="str">
        <f t="shared" si="2"/>
        <v>Middle Spend ($45,000 - $66,000)</v>
      </c>
    </row>
    <row r="150" spans="1:3">
      <c r="A150" s="152">
        <v>62.095999999999997</v>
      </c>
      <c r="B150" s="152">
        <v>76</v>
      </c>
      <c r="C150" s="152" t="str">
        <f t="shared" si="2"/>
        <v>Middle Spend ($45,000 - $66,000)</v>
      </c>
    </row>
    <row r="151" spans="1:3">
      <c r="A151" s="152">
        <v>92.180999999999997</v>
      </c>
      <c r="B151" s="152">
        <v>9</v>
      </c>
      <c r="C151" s="152" t="str">
        <f t="shared" si="2"/>
        <v>High Spend ($89,000 - $132,000)</v>
      </c>
    </row>
    <row r="152" spans="1:3">
      <c r="A152" s="152">
        <v>45.167000000000002</v>
      </c>
      <c r="B152" s="152">
        <v>31</v>
      </c>
      <c r="C152" s="152" t="str">
        <f t="shared" si="2"/>
        <v>Middle Spend ($45,000 - $66,000)</v>
      </c>
    </row>
    <row r="153" spans="1:3">
      <c r="A153" s="152">
        <v>86.382999999999996</v>
      </c>
      <c r="B153" s="152">
        <v>34</v>
      </c>
      <c r="C153" s="152" t="str">
        <f t="shared" si="2"/>
        <v>Upper-Middle Spend ($67,000 - $88,000)</v>
      </c>
    </row>
    <row r="154" spans="1:3">
      <c r="A154" s="152">
        <v>29.419</v>
      </c>
      <c r="B154" s="152">
        <v>47</v>
      </c>
      <c r="C154" s="152" t="str">
        <f t="shared" si="2"/>
        <v>Lower-Middle Spend ($23,000 - $44,000)</v>
      </c>
    </row>
    <row r="155" spans="1:3">
      <c r="A155" s="152">
        <v>70.506</v>
      </c>
      <c r="B155" s="152">
        <v>78</v>
      </c>
      <c r="C155" s="152" t="str">
        <f t="shared" si="2"/>
        <v>Upper-Middle Spend ($67,000 - $88,000)</v>
      </c>
    </row>
    <row r="156" spans="1:3">
      <c r="A156" s="152">
        <v>93.763999999999996</v>
      </c>
      <c r="B156" s="152">
        <v>101</v>
      </c>
      <c r="C156" s="152" t="str">
        <f t="shared" si="2"/>
        <v>High Spend ($89,000 - $132,000)</v>
      </c>
    </row>
    <row r="157" spans="1:3">
      <c r="A157" s="152">
        <v>6.0190000000000001</v>
      </c>
      <c r="B157" s="152">
        <v>51</v>
      </c>
      <c r="C157" s="152" t="str">
        <f t="shared" si="2"/>
        <v>Low Spend (&lt;$22,000)</v>
      </c>
    </row>
    <row r="158" spans="1:3">
      <c r="A158" s="152">
        <v>87.414000000000001</v>
      </c>
      <c r="B158" s="152">
        <v>108</v>
      </c>
      <c r="C158" s="152" t="str">
        <f t="shared" si="2"/>
        <v>Upper-Middle Spend ($67,000 - $88,000)</v>
      </c>
    </row>
    <row r="159" spans="1:3">
      <c r="A159" s="152">
        <v>61.896000000000001</v>
      </c>
      <c r="B159" s="152">
        <v>50</v>
      </c>
      <c r="C159" s="152" t="str">
        <f t="shared" si="2"/>
        <v>Middle Spend ($45,000 - $66,000)</v>
      </c>
    </row>
    <row r="160" spans="1:3">
      <c r="A160" s="152">
        <v>80.953999999999994</v>
      </c>
      <c r="B160" s="152">
        <v>10</v>
      </c>
      <c r="C160" s="152" t="str">
        <f t="shared" si="2"/>
        <v>Upper-Middle Spend ($67,000 - $88,000)</v>
      </c>
    </row>
    <row r="161" spans="1:3">
      <c r="A161" s="152">
        <v>41.207999999999998</v>
      </c>
      <c r="B161" s="152">
        <v>30</v>
      </c>
      <c r="C161" s="152" t="str">
        <f t="shared" si="2"/>
        <v>Lower-Middle Spend ($23,000 - $44,000)</v>
      </c>
    </row>
    <row r="162" spans="1:3">
      <c r="A162" s="152">
        <v>18.265000000000001</v>
      </c>
      <c r="B162" s="152">
        <v>64</v>
      </c>
      <c r="C162" s="152" t="str">
        <f t="shared" si="2"/>
        <v>Low Spend (&lt;$22,000)</v>
      </c>
    </row>
    <row r="163" spans="1:3">
      <c r="A163" s="152">
        <v>55.404000000000003</v>
      </c>
      <c r="B163" s="152">
        <v>60</v>
      </c>
      <c r="C163" s="152" t="str">
        <f t="shared" si="2"/>
        <v>Middle Spend ($45,000 - $66,000)</v>
      </c>
    </row>
    <row r="164" spans="1:3">
      <c r="A164" s="152">
        <v>61.651000000000003</v>
      </c>
      <c r="B164" s="152">
        <v>62</v>
      </c>
      <c r="C164" s="152" t="str">
        <f t="shared" si="2"/>
        <v>Middle Spend ($45,000 - $66,000)</v>
      </c>
    </row>
    <row r="165" spans="1:3">
      <c r="A165" s="152">
        <v>83.631</v>
      </c>
      <c r="B165" s="152">
        <v>78</v>
      </c>
      <c r="C165" s="152" t="str">
        <f t="shared" si="2"/>
        <v>Upper-Middle Spend ($67,000 - $88,000)</v>
      </c>
    </row>
    <row r="166" spans="1:3">
      <c r="A166" s="152">
        <v>134.34700000000001</v>
      </c>
      <c r="B166" s="152">
        <v>62</v>
      </c>
      <c r="C166" s="152" t="str">
        <f t="shared" si="2"/>
        <v>Premium Spend (&gt;$132,000)</v>
      </c>
    </row>
    <row r="167" spans="1:3">
      <c r="A167" s="152">
        <v>26.457999999999998</v>
      </c>
      <c r="B167" s="152">
        <v>11</v>
      </c>
      <c r="C167" s="152" t="str">
        <f t="shared" si="2"/>
        <v>Lower-Middle Spend ($23,000 - $44,000)</v>
      </c>
    </row>
    <row r="168" spans="1:3">
      <c r="A168" s="152">
        <v>61.62</v>
      </c>
      <c r="B168" s="152">
        <v>70</v>
      </c>
      <c r="C168" s="152" t="str">
        <f t="shared" si="2"/>
        <v>Middle Spend ($45,000 - $66,000)</v>
      </c>
    </row>
    <row r="169" spans="1:3">
      <c r="A169" s="152">
        <v>26.295999999999999</v>
      </c>
      <c r="B169" s="152">
        <v>7</v>
      </c>
      <c r="C169" s="152" t="str">
        <f t="shared" si="2"/>
        <v>Lower-Middle Spend ($23,000 - $44,000)</v>
      </c>
    </row>
    <row r="170" spans="1:3">
      <c r="A170" s="152">
        <v>39.817</v>
      </c>
      <c r="B170" s="152">
        <v>25</v>
      </c>
      <c r="C170" s="152" t="str">
        <f t="shared" si="2"/>
        <v>Lower-Middle Spend ($23,000 - $44,000)</v>
      </c>
    </row>
    <row r="171" spans="1:3">
      <c r="A171" s="152">
        <v>88.3</v>
      </c>
      <c r="B171" s="152">
        <v>64</v>
      </c>
      <c r="C171" s="152" t="str">
        <f t="shared" si="2"/>
        <v>High Spend ($89,000 - $132,000)</v>
      </c>
    </row>
    <row r="172" spans="1:3">
      <c r="A172" s="152">
        <v>78.733000000000004</v>
      </c>
      <c r="B172" s="152">
        <v>90</v>
      </c>
      <c r="C172" s="152" t="str">
        <f t="shared" si="2"/>
        <v>Upper-Middle Spend ($67,000 - $88,000)</v>
      </c>
    </row>
    <row r="173" spans="1:3">
      <c r="A173" s="152">
        <v>28.933</v>
      </c>
      <c r="B173" s="152">
        <v>37</v>
      </c>
      <c r="C173" s="152" t="str">
        <f t="shared" si="2"/>
        <v>Lower-Middle Spend ($23,000 - $44,000)</v>
      </c>
    </row>
    <row r="174" spans="1:3">
      <c r="A174" s="152">
        <v>73.225999999999999</v>
      </c>
      <c r="B174" s="152">
        <v>59</v>
      </c>
      <c r="C174" s="152" t="str">
        <f t="shared" si="2"/>
        <v>Upper-Middle Spend ($67,000 - $88,000)</v>
      </c>
    </row>
    <row r="175" spans="1:3">
      <c r="A175" s="152">
        <v>49.207000000000001</v>
      </c>
      <c r="B175" s="152">
        <v>32</v>
      </c>
      <c r="C175" s="152" t="str">
        <f t="shared" si="2"/>
        <v>Middle Spend ($45,000 - $66,000)</v>
      </c>
    </row>
    <row r="176" spans="1:3">
      <c r="A176" s="152">
        <v>31.866</v>
      </c>
      <c r="B176" s="152">
        <v>92</v>
      </c>
      <c r="C176" s="152" t="str">
        <f t="shared" si="2"/>
        <v>Lower-Middle Spend ($23,000 - $44,000)</v>
      </c>
    </row>
    <row r="177" spans="1:3">
      <c r="A177" s="152">
        <v>7.6269999999999998</v>
      </c>
      <c r="B177" s="152">
        <v>27</v>
      </c>
      <c r="C177" s="152" t="str">
        <f t="shared" si="2"/>
        <v>Low Spend (&lt;$22,000)</v>
      </c>
    </row>
    <row r="178" spans="1:3">
      <c r="A178" s="152">
        <v>5.6929999999999996</v>
      </c>
      <c r="B178" s="152">
        <v>81</v>
      </c>
      <c r="C178" s="152" t="str">
        <f t="shared" si="2"/>
        <v>Low Spend (&lt;$22,000)</v>
      </c>
    </row>
    <row r="179" spans="1:3">
      <c r="A179" s="152">
        <v>45.558999999999997</v>
      </c>
      <c r="B179" s="152">
        <v>82</v>
      </c>
      <c r="C179" s="152" t="str">
        <f t="shared" si="2"/>
        <v>Middle Spend ($45,000 - $66,000)</v>
      </c>
    </row>
    <row r="180" spans="1:3">
      <c r="A180" s="152">
        <v>40.588000000000001</v>
      </c>
      <c r="B180" s="152">
        <v>73</v>
      </c>
      <c r="C180" s="152" t="str">
        <f t="shared" si="2"/>
        <v>Lower-Middle Spend ($23,000 - $44,000)</v>
      </c>
    </row>
    <row r="181" spans="1:3">
      <c r="A181" s="152">
        <v>74.736000000000004</v>
      </c>
      <c r="B181" s="152">
        <v>51</v>
      </c>
      <c r="C181" s="152" t="str">
        <f t="shared" si="2"/>
        <v>Upper-Middle Spend ($67,000 - $88,000)</v>
      </c>
    </row>
    <row r="182" spans="1:3">
      <c r="A182" s="152">
        <v>42.247999999999998</v>
      </c>
      <c r="B182" s="152">
        <v>66</v>
      </c>
      <c r="C182" s="152" t="str">
        <f t="shared" si="2"/>
        <v>Lower-Middle Spend ($23,000 - $44,000)</v>
      </c>
    </row>
    <row r="183" spans="1:3">
      <c r="A183" s="152">
        <v>44.661999999999999</v>
      </c>
      <c r="B183" s="152">
        <v>39</v>
      </c>
      <c r="C183" s="152" t="str">
        <f t="shared" si="2"/>
        <v>Middle Spend ($45,000 - $66,000)</v>
      </c>
    </row>
    <row r="184" spans="1:3">
      <c r="A184" s="152">
        <v>45.543999999999997</v>
      </c>
      <c r="B184" s="152">
        <v>30</v>
      </c>
      <c r="C184" s="152" t="str">
        <f t="shared" si="2"/>
        <v>Middle Spend ($45,000 - $66,000)</v>
      </c>
    </row>
    <row r="185" spans="1:3">
      <c r="A185" s="152">
        <v>16.702999999999999</v>
      </c>
      <c r="B185" s="152">
        <v>33</v>
      </c>
      <c r="C185" s="152" t="str">
        <f t="shared" si="2"/>
        <v>Low Spend (&lt;$22,000)</v>
      </c>
    </row>
    <row r="186" spans="1:3">
      <c r="A186" s="152">
        <v>31.026</v>
      </c>
      <c r="B186" s="152">
        <v>44</v>
      </c>
      <c r="C186" s="152" t="str">
        <f t="shared" si="2"/>
        <v>Lower-Middle Spend ($23,000 - $44,000)</v>
      </c>
    </row>
    <row r="187" spans="1:3">
      <c r="A187" s="152">
        <v>75.802000000000007</v>
      </c>
      <c r="B187" s="152">
        <v>90</v>
      </c>
      <c r="C187" s="152" t="str">
        <f t="shared" si="2"/>
        <v>Upper-Middle Spend ($67,000 - $88,000)</v>
      </c>
    </row>
    <row r="188" spans="1:3">
      <c r="A188" s="152">
        <v>56.418999999999997</v>
      </c>
      <c r="B188" s="152">
        <v>63</v>
      </c>
      <c r="C188" s="152" t="str">
        <f t="shared" si="2"/>
        <v>Middle Spend ($45,000 - $66,000)</v>
      </c>
    </row>
    <row r="189" spans="1:3">
      <c r="A189" s="152">
        <v>85.94</v>
      </c>
      <c r="B189" s="152">
        <v>55</v>
      </c>
      <c r="C189" s="152" t="str">
        <f t="shared" si="2"/>
        <v>Upper-Middle Spend ($67,000 - $88,000)</v>
      </c>
    </row>
    <row r="190" spans="1:3">
      <c r="A190" s="152">
        <v>11.473000000000001</v>
      </c>
      <c r="B190" s="152">
        <v>32</v>
      </c>
      <c r="C190" s="152" t="str">
        <f t="shared" si="2"/>
        <v>Low Spend (&lt;$22,000)</v>
      </c>
    </row>
    <row r="191" spans="1:3">
      <c r="A191" s="152">
        <v>53.555999999999997</v>
      </c>
      <c r="B191" s="152">
        <v>70</v>
      </c>
      <c r="C191" s="152" t="str">
        <f t="shared" si="2"/>
        <v>Middle Spend ($45,000 - $66,000)</v>
      </c>
    </row>
    <row r="192" spans="1:3">
      <c r="A192" s="152">
        <v>32.177</v>
      </c>
      <c r="B192" s="152">
        <v>24</v>
      </c>
      <c r="C192" s="152" t="str">
        <f t="shared" si="2"/>
        <v>Lower-Middle Spend ($23,000 - $44,000)</v>
      </c>
    </row>
    <row r="193" spans="1:3">
      <c r="A193" s="152">
        <v>21.138000000000002</v>
      </c>
      <c r="B193" s="152">
        <v>18</v>
      </c>
      <c r="C193" s="152" t="str">
        <f t="shared" si="2"/>
        <v>Low Spend (&lt;$22,000)</v>
      </c>
    </row>
    <row r="194" spans="1:3">
      <c r="A194" s="152">
        <v>15.818</v>
      </c>
      <c r="B194" s="152">
        <v>63</v>
      </c>
      <c r="C194" s="152" t="str">
        <f t="shared" si="2"/>
        <v>Low Spend (&lt;$22,000)</v>
      </c>
    </row>
    <row r="195" spans="1:3">
      <c r="A195" s="152">
        <v>22.971</v>
      </c>
      <c r="B195" s="152">
        <v>106</v>
      </c>
      <c r="C195" s="152" t="str">
        <f t="shared" ref="C195:C258" si="3">IF(A195&lt;22, "Low Spend (&lt;$22,000)", IF(A195&lt;=44, "Lower-Middle Spend ($23,000 - $44,000)", IF(A195&lt;=66, "Middle Spend ($45,000 - $66,000)", IF(A195&lt;=88, "Upper-Middle Spend ($67,000 - $88,000)", IF(A195&lt;=132, "High Spend ($89,000 - $132,000)", "Premium Spend (&gt;$132,000)")))))</f>
        <v>Lower-Middle Spend ($23,000 - $44,000)</v>
      </c>
    </row>
    <row r="196" spans="1:3">
      <c r="A196" s="152">
        <v>84.477999999999994</v>
      </c>
      <c r="B196" s="152">
        <v>70</v>
      </c>
      <c r="C196" s="152" t="str">
        <f t="shared" si="3"/>
        <v>Upper-Middle Spend ($67,000 - $88,000)</v>
      </c>
    </row>
    <row r="197" spans="1:3">
      <c r="A197" s="152">
        <v>21.079000000000001</v>
      </c>
      <c r="B197" s="152">
        <v>116</v>
      </c>
      <c r="C197" s="152" t="str">
        <f t="shared" si="3"/>
        <v>Low Spend (&lt;$22,000)</v>
      </c>
    </row>
    <row r="198" spans="1:3">
      <c r="A198" s="152">
        <v>46.56</v>
      </c>
      <c r="B198" s="152">
        <v>129</v>
      </c>
      <c r="C198" s="152" t="str">
        <f t="shared" si="3"/>
        <v>Middle Spend ($45,000 - $66,000)</v>
      </c>
    </row>
    <row r="199" spans="1:3">
      <c r="A199" s="152">
        <v>74.834000000000003</v>
      </c>
      <c r="B199" s="152">
        <v>102</v>
      </c>
      <c r="C199" s="152" t="str">
        <f t="shared" si="3"/>
        <v>Upper-Middle Spend ($67,000 - $88,000)</v>
      </c>
    </row>
    <row r="200" spans="1:3">
      <c r="A200" s="152">
        <v>70.63</v>
      </c>
      <c r="B200" s="152">
        <v>57</v>
      </c>
      <c r="C200" s="152" t="str">
        <f t="shared" si="3"/>
        <v>Upper-Middle Spend ($67,000 - $88,000)</v>
      </c>
    </row>
    <row r="201" spans="1:3">
      <c r="A201" s="152">
        <v>7.8840000000000003</v>
      </c>
      <c r="B201" s="152">
        <v>17</v>
      </c>
      <c r="C201" s="152" t="str">
        <f t="shared" si="3"/>
        <v>Low Spend (&lt;$22,000)</v>
      </c>
    </row>
    <row r="202" spans="1:3">
      <c r="A202" s="152">
        <v>58.735999999999997</v>
      </c>
      <c r="B202" s="152">
        <v>38</v>
      </c>
      <c r="C202" s="152" t="str">
        <f t="shared" si="3"/>
        <v>Middle Spend ($45,000 - $66,000)</v>
      </c>
    </row>
    <row r="203" spans="1:3">
      <c r="A203" s="152">
        <v>44.814999999999998</v>
      </c>
      <c r="B203" s="152">
        <v>91</v>
      </c>
      <c r="C203" s="152" t="str">
        <f t="shared" si="3"/>
        <v>Middle Spend ($45,000 - $66,000)</v>
      </c>
    </row>
    <row r="204" spans="1:3">
      <c r="A204" s="152">
        <v>52.963999999999999</v>
      </c>
      <c r="B204" s="152">
        <v>32</v>
      </c>
      <c r="C204" s="152" t="str">
        <f t="shared" si="3"/>
        <v>Middle Spend ($45,000 - $66,000)</v>
      </c>
    </row>
    <row r="205" spans="1:3">
      <c r="A205" s="152">
        <v>47.540999999999997</v>
      </c>
      <c r="B205" s="152">
        <v>71</v>
      </c>
      <c r="C205" s="152" t="str">
        <f t="shared" si="3"/>
        <v>Middle Spend ($45,000 - $66,000)</v>
      </c>
    </row>
    <row r="206" spans="1:3">
      <c r="A206" s="152">
        <v>75.210999999999999</v>
      </c>
      <c r="B206" s="152">
        <v>17</v>
      </c>
      <c r="C206" s="152" t="str">
        <f t="shared" si="3"/>
        <v>Upper-Middle Spend ($67,000 - $88,000)</v>
      </c>
    </row>
    <row r="207" spans="1:3">
      <c r="A207" s="152">
        <v>64.042000000000002</v>
      </c>
      <c r="B207" s="152">
        <v>56</v>
      </c>
      <c r="C207" s="152" t="str">
        <f t="shared" si="3"/>
        <v>Middle Spend ($45,000 - $66,000)</v>
      </c>
    </row>
    <row r="208" spans="1:3">
      <c r="A208" s="152">
        <v>54.698</v>
      </c>
      <c r="B208" s="152">
        <v>36</v>
      </c>
      <c r="C208" s="152" t="str">
        <f t="shared" si="3"/>
        <v>Middle Spend ($45,000 - $66,000)</v>
      </c>
    </row>
    <row r="209" spans="1:3">
      <c r="A209" s="152">
        <v>58.173000000000002</v>
      </c>
      <c r="B209" s="152">
        <v>138</v>
      </c>
      <c r="C209" s="152" t="str">
        <f t="shared" si="3"/>
        <v>Middle Spend ($45,000 - $66,000)</v>
      </c>
    </row>
    <row r="210" spans="1:3">
      <c r="A210" s="152">
        <v>75.878</v>
      </c>
      <c r="B210" s="152">
        <v>43</v>
      </c>
      <c r="C210" s="152" t="str">
        <f t="shared" si="3"/>
        <v>Upper-Middle Spend ($67,000 - $88,000)</v>
      </c>
    </row>
    <row r="211" spans="1:3">
      <c r="A211" s="152">
        <v>34.79</v>
      </c>
      <c r="B211" s="152">
        <v>31</v>
      </c>
      <c r="C211" s="152" t="str">
        <f t="shared" si="3"/>
        <v>Lower-Middle Spend ($23,000 - $44,000)</v>
      </c>
    </row>
    <row r="212" spans="1:3">
      <c r="A212" s="152">
        <v>50.582999999999998</v>
      </c>
      <c r="B212" s="152">
        <v>47</v>
      </c>
      <c r="C212" s="152" t="str">
        <f t="shared" si="3"/>
        <v>Middle Spend ($45,000 - $66,000)</v>
      </c>
    </row>
    <row r="213" spans="1:3">
      <c r="A213" s="152">
        <v>32.595999999999997</v>
      </c>
      <c r="B213" s="152">
        <v>15</v>
      </c>
      <c r="C213" s="152" t="str">
        <f t="shared" si="3"/>
        <v>Lower-Middle Spend ($23,000 - $44,000)</v>
      </c>
    </row>
    <row r="214" spans="1:3">
      <c r="A214" s="152">
        <v>61.811999999999998</v>
      </c>
      <c r="B214" s="152">
        <v>71</v>
      </c>
      <c r="C214" s="152" t="str">
        <f t="shared" si="3"/>
        <v>Middle Spend ($45,000 - $66,000)</v>
      </c>
    </row>
    <row r="215" spans="1:3">
      <c r="A215" s="152">
        <v>50.414000000000001</v>
      </c>
      <c r="B215" s="152">
        <v>94</v>
      </c>
      <c r="C215" s="152" t="str">
        <f t="shared" si="3"/>
        <v>Middle Spend ($45,000 - $66,000)</v>
      </c>
    </row>
    <row r="216" spans="1:3">
      <c r="A216" s="152">
        <v>46.179000000000002</v>
      </c>
      <c r="B216" s="152">
        <v>58</v>
      </c>
      <c r="C216" s="152" t="str">
        <f t="shared" si="3"/>
        <v>Middle Spend ($45,000 - $66,000)</v>
      </c>
    </row>
    <row r="217" spans="1:3">
      <c r="A217" s="152">
        <v>41.563000000000002</v>
      </c>
      <c r="B217" s="152">
        <v>72</v>
      </c>
      <c r="C217" s="152" t="str">
        <f t="shared" si="3"/>
        <v>Lower-Middle Spend ($23,000 - $44,000)</v>
      </c>
    </row>
    <row r="218" spans="1:3">
      <c r="A218" s="152">
        <v>90.54</v>
      </c>
      <c r="B218" s="152">
        <v>83</v>
      </c>
      <c r="C218" s="152" t="str">
        <f t="shared" si="3"/>
        <v>High Spend ($89,000 - $132,000)</v>
      </c>
    </row>
    <row r="219" spans="1:3">
      <c r="A219" s="152">
        <v>93.213999999999999</v>
      </c>
      <c r="B219" s="152">
        <v>79</v>
      </c>
      <c r="C219" s="152" t="str">
        <f t="shared" si="3"/>
        <v>High Spend ($89,000 - $132,000)</v>
      </c>
    </row>
    <row r="220" spans="1:3">
      <c r="A220" s="152">
        <v>68.881</v>
      </c>
      <c r="B220" s="152">
        <v>19</v>
      </c>
      <c r="C220" s="152" t="str">
        <f t="shared" si="3"/>
        <v>Upper-Middle Spend ($67,000 - $88,000)</v>
      </c>
    </row>
    <row r="221" spans="1:3">
      <c r="A221" s="152">
        <v>22.989000000000001</v>
      </c>
      <c r="B221" s="152">
        <v>25</v>
      </c>
      <c r="C221" s="152" t="str">
        <f t="shared" si="3"/>
        <v>Lower-Middle Spend ($23,000 - $44,000)</v>
      </c>
    </row>
    <row r="222" spans="1:3">
      <c r="A222" s="152">
        <v>59.466999999999999</v>
      </c>
      <c r="B222" s="152">
        <v>17</v>
      </c>
      <c r="C222" s="152" t="str">
        <f t="shared" si="3"/>
        <v>Middle Spend ($45,000 - $66,000)</v>
      </c>
    </row>
    <row r="223" spans="1:3">
      <c r="A223" s="152">
        <v>82.37</v>
      </c>
      <c r="B223" s="152">
        <v>100</v>
      </c>
      <c r="C223" s="152" t="str">
        <f t="shared" si="3"/>
        <v>Upper-Middle Spend ($67,000 - $88,000)</v>
      </c>
    </row>
    <row r="224" spans="1:3">
      <c r="A224" s="152">
        <v>69.116</v>
      </c>
      <c r="B224" s="152">
        <v>15</v>
      </c>
      <c r="C224" s="152" t="str">
        <f t="shared" si="3"/>
        <v>Upper-Middle Spend ($67,000 - $88,000)</v>
      </c>
    </row>
    <row r="225" spans="1:3">
      <c r="A225" s="152">
        <v>66.632999999999996</v>
      </c>
      <c r="B225" s="152">
        <v>86</v>
      </c>
      <c r="C225" s="152" t="str">
        <f t="shared" si="3"/>
        <v>Upper-Middle Spend ($67,000 - $88,000)</v>
      </c>
    </row>
    <row r="226" spans="1:3">
      <c r="A226" s="152">
        <v>19.917000000000002</v>
      </c>
      <c r="B226" s="152">
        <v>139</v>
      </c>
      <c r="C226" s="152" t="str">
        <f t="shared" si="3"/>
        <v>Low Spend (&lt;$22,000)</v>
      </c>
    </row>
    <row r="227" spans="1:3">
      <c r="A227" s="152">
        <v>34.683999999999997</v>
      </c>
      <c r="B227" s="152">
        <v>97</v>
      </c>
      <c r="C227" s="152" t="str">
        <f t="shared" si="3"/>
        <v>Lower-Middle Spend ($23,000 - $44,000)</v>
      </c>
    </row>
    <row r="228" spans="1:3">
      <c r="A228" s="152">
        <v>29.614000000000001</v>
      </c>
      <c r="B228" s="152">
        <v>6</v>
      </c>
      <c r="C228" s="152" t="str">
        <f t="shared" si="3"/>
        <v>Lower-Middle Spend ($23,000 - $44,000)</v>
      </c>
    </row>
    <row r="229" spans="1:3">
      <c r="A229" s="152">
        <v>17.690999999999999</v>
      </c>
      <c r="B229" s="152">
        <v>25</v>
      </c>
      <c r="C229" s="152" t="str">
        <f t="shared" si="3"/>
        <v>Low Spend (&lt;$22,000)</v>
      </c>
    </row>
    <row r="230" spans="1:3">
      <c r="A230" s="152">
        <v>8.702</v>
      </c>
      <c r="B230" s="152">
        <v>150</v>
      </c>
      <c r="C230" s="152" t="str">
        <f t="shared" si="3"/>
        <v>Low Spend (&lt;$22,000)</v>
      </c>
    </row>
    <row r="231" spans="1:3">
      <c r="A231" s="152">
        <v>53.198</v>
      </c>
      <c r="B231" s="152">
        <v>72</v>
      </c>
      <c r="C231" s="152" t="str">
        <f t="shared" si="3"/>
        <v>Middle Spend ($45,000 - $66,000)</v>
      </c>
    </row>
    <row r="232" spans="1:3">
      <c r="A232" s="152">
        <v>59.451999999999998</v>
      </c>
      <c r="B232" s="152">
        <v>114</v>
      </c>
      <c r="C232" s="152" t="str">
        <f t="shared" si="3"/>
        <v>Middle Spend ($45,000 - $66,000)</v>
      </c>
    </row>
    <row r="233" spans="1:3">
      <c r="A233" s="152">
        <v>37.430999999999997</v>
      </c>
      <c r="B233" s="152">
        <v>75</v>
      </c>
      <c r="C233" s="152" t="str">
        <f t="shared" si="3"/>
        <v>Lower-Middle Spend ($23,000 - $44,000)</v>
      </c>
    </row>
    <row r="234" spans="1:3">
      <c r="A234" s="152">
        <v>48.484999999999999</v>
      </c>
      <c r="B234" s="152">
        <v>17</v>
      </c>
      <c r="C234" s="152" t="str">
        <f t="shared" si="3"/>
        <v>Middle Spend ($45,000 - $66,000)</v>
      </c>
    </row>
    <row r="235" spans="1:3">
      <c r="A235" s="152">
        <v>48.764000000000003</v>
      </c>
      <c r="B235" s="152">
        <v>52</v>
      </c>
      <c r="C235" s="152" t="str">
        <f t="shared" si="3"/>
        <v>Middle Spend ($45,000 - $66,000)</v>
      </c>
    </row>
    <row r="236" spans="1:3">
      <c r="A236" s="152">
        <v>77.566999999999993</v>
      </c>
      <c r="B236" s="152">
        <v>29</v>
      </c>
      <c r="C236" s="152" t="str">
        <f t="shared" si="3"/>
        <v>Upper-Middle Spend ($67,000 - $88,000)</v>
      </c>
    </row>
    <row r="237" spans="1:3">
      <c r="A237" s="152">
        <v>88.251000000000005</v>
      </c>
      <c r="B237" s="152">
        <v>106</v>
      </c>
      <c r="C237" s="152" t="str">
        <f t="shared" si="3"/>
        <v>High Spend ($89,000 - $132,000)</v>
      </c>
    </row>
    <row r="238" spans="1:3">
      <c r="A238" s="152">
        <v>29.036999999999999</v>
      </c>
      <c r="B238" s="152">
        <v>24</v>
      </c>
      <c r="C238" s="152" t="str">
        <f t="shared" si="3"/>
        <v>Lower-Middle Spend ($23,000 - $44,000)</v>
      </c>
    </row>
    <row r="239" spans="1:3">
      <c r="A239" s="152">
        <v>41.875999999999998</v>
      </c>
      <c r="B239" s="152">
        <v>35</v>
      </c>
      <c r="C239" s="152" t="str">
        <f t="shared" si="3"/>
        <v>Lower-Middle Spend ($23,000 - $44,000)</v>
      </c>
    </row>
    <row r="240" spans="1:3">
      <c r="A240" s="152">
        <v>43.820999999999998</v>
      </c>
      <c r="B240" s="152">
        <v>27</v>
      </c>
      <c r="C240" s="152" t="str">
        <f t="shared" si="3"/>
        <v>Lower-Middle Spend ($23,000 - $44,000)</v>
      </c>
    </row>
    <row r="241" spans="1:3">
      <c r="A241" s="152">
        <v>78.427000000000007</v>
      </c>
      <c r="B241" s="152">
        <v>103</v>
      </c>
      <c r="C241" s="152" t="str">
        <f t="shared" si="3"/>
        <v>Upper-Middle Spend ($67,000 - $88,000)</v>
      </c>
    </row>
    <row r="242" spans="1:3">
      <c r="A242" s="152">
        <v>49.826000000000001</v>
      </c>
      <c r="B242" s="152">
        <v>22</v>
      </c>
      <c r="C242" s="152" t="str">
        <f t="shared" si="3"/>
        <v>Middle Spend ($45,000 - $66,000)</v>
      </c>
    </row>
    <row r="243" spans="1:3">
      <c r="A243" s="152">
        <v>83.674999999999997</v>
      </c>
      <c r="B243" s="152">
        <v>69</v>
      </c>
      <c r="C243" s="152" t="str">
        <f t="shared" si="3"/>
        <v>Upper-Middle Spend ($67,000 - $88,000)</v>
      </c>
    </row>
    <row r="244" spans="1:3">
      <c r="A244" s="152">
        <v>46.741999999999997</v>
      </c>
      <c r="B244" s="152">
        <v>41</v>
      </c>
      <c r="C244" s="152" t="str">
        <f t="shared" si="3"/>
        <v>Middle Spend ($45,000 - $66,000)</v>
      </c>
    </row>
    <row r="245" spans="1:3">
      <c r="A245" s="152">
        <v>77.100999999999999</v>
      </c>
      <c r="B245" s="152">
        <v>82</v>
      </c>
      <c r="C245" s="152" t="str">
        <f t="shared" si="3"/>
        <v>Upper-Middle Spend ($67,000 - $88,000)</v>
      </c>
    </row>
    <row r="246" spans="1:3">
      <c r="A246" s="152">
        <v>51.88</v>
      </c>
      <c r="B246" s="152">
        <v>34</v>
      </c>
      <c r="C246" s="152" t="str">
        <f t="shared" si="3"/>
        <v>Middle Spend ($45,000 - $66,000)</v>
      </c>
    </row>
    <row r="247" spans="1:3">
      <c r="A247" s="152">
        <v>81.266000000000005</v>
      </c>
      <c r="B247" s="152">
        <v>30</v>
      </c>
      <c r="C247" s="152" t="str">
        <f t="shared" si="3"/>
        <v>Upper-Middle Spend ($67,000 - $88,000)</v>
      </c>
    </row>
    <row r="248" spans="1:3">
      <c r="A248" s="152">
        <v>31.344999999999999</v>
      </c>
      <c r="B248" s="152">
        <v>47</v>
      </c>
      <c r="C248" s="152" t="str">
        <f t="shared" si="3"/>
        <v>Lower-Middle Spend ($23,000 - $44,000)</v>
      </c>
    </row>
    <row r="249" spans="1:3">
      <c r="A249" s="152">
        <v>81.611000000000004</v>
      </c>
      <c r="B249" s="152">
        <v>115</v>
      </c>
      <c r="C249" s="152" t="str">
        <f t="shared" si="3"/>
        <v>Upper-Middle Spend ($67,000 - $88,000)</v>
      </c>
    </row>
    <row r="250" spans="1:3">
      <c r="A250" s="152">
        <v>49.843000000000004</v>
      </c>
      <c r="B250" s="152">
        <v>19</v>
      </c>
      <c r="C250" s="152" t="str">
        <f t="shared" si="3"/>
        <v>Middle Spend ($45,000 - $66,000)</v>
      </c>
    </row>
    <row r="251" spans="1:3">
      <c r="A251" s="152">
        <v>19.718</v>
      </c>
      <c r="B251" s="152">
        <v>80</v>
      </c>
      <c r="C251" s="152" t="str">
        <f t="shared" si="3"/>
        <v>Low Spend (&lt;$22,000)</v>
      </c>
    </row>
    <row r="252" spans="1:3">
      <c r="A252" s="152">
        <v>27.7</v>
      </c>
      <c r="B252" s="152">
        <v>59</v>
      </c>
      <c r="C252" s="152" t="str">
        <f t="shared" si="3"/>
        <v>Lower-Middle Spend ($23,000 - $44,000)</v>
      </c>
    </row>
    <row r="253" spans="1:3">
      <c r="A253" s="152">
        <v>45.447000000000003</v>
      </c>
      <c r="B253" s="152">
        <v>44</v>
      </c>
      <c r="C253" s="152" t="str">
        <f t="shared" si="3"/>
        <v>Middle Spend ($45,000 - $66,000)</v>
      </c>
    </row>
    <row r="254" spans="1:3">
      <c r="A254" s="152">
        <v>62.951999999999998</v>
      </c>
      <c r="B254" s="152">
        <v>55</v>
      </c>
      <c r="C254" s="152" t="str">
        <f t="shared" si="3"/>
        <v>Middle Spend ($45,000 - $66,000)</v>
      </c>
    </row>
    <row r="255" spans="1:3">
      <c r="A255" s="152">
        <v>39.926000000000002</v>
      </c>
      <c r="B255" s="152">
        <v>48</v>
      </c>
      <c r="C255" s="152" t="str">
        <f t="shared" si="3"/>
        <v>Lower-Middle Spend ($23,000 - $44,000)</v>
      </c>
    </row>
    <row r="256" spans="1:3">
      <c r="A256" s="152">
        <v>26.83</v>
      </c>
      <c r="B256" s="152">
        <v>23</v>
      </c>
      <c r="C256" s="152" t="str">
        <f t="shared" si="3"/>
        <v>Lower-Middle Spend ($23,000 - $44,000)</v>
      </c>
    </row>
    <row r="257" spans="1:3">
      <c r="A257" s="152">
        <v>47.259</v>
      </c>
      <c r="B257" s="152">
        <v>13</v>
      </c>
      <c r="C257" s="152" t="str">
        <f t="shared" si="3"/>
        <v>Middle Spend ($45,000 - $66,000)</v>
      </c>
    </row>
    <row r="258" spans="1:3">
      <c r="A258" s="152">
        <v>63.597999999999999</v>
      </c>
      <c r="B258" s="152">
        <v>34</v>
      </c>
      <c r="C258" s="152" t="str">
        <f t="shared" si="3"/>
        <v>Middle Spend ($45,000 - $66,000)</v>
      </c>
    </row>
    <row r="259" spans="1:3">
      <c r="A259" s="152">
        <v>61.579000000000001</v>
      </c>
      <c r="B259" s="152">
        <v>43</v>
      </c>
      <c r="C259" s="152" t="str">
        <f t="shared" ref="C259:C322" si="4">IF(A259&lt;22, "Low Spend (&lt;$22,000)", IF(A259&lt;=44, "Lower-Middle Spend ($23,000 - $44,000)", IF(A259&lt;=66, "Middle Spend ($45,000 - $66,000)", IF(A259&lt;=88, "Upper-Middle Spend ($67,000 - $88,000)", IF(A259&lt;=132, "High Spend ($89,000 - $132,000)", "Premium Spend (&gt;$132,000)")))))</f>
        <v>Middle Spend ($45,000 - $66,000)</v>
      </c>
    </row>
    <row r="260" spans="1:3">
      <c r="A260" s="152">
        <v>78.978999999999999</v>
      </c>
      <c r="B260" s="152">
        <v>42</v>
      </c>
      <c r="C260" s="152" t="str">
        <f t="shared" si="4"/>
        <v>Upper-Middle Spend ($67,000 - $88,000)</v>
      </c>
    </row>
    <row r="261" spans="1:3">
      <c r="A261" s="152">
        <v>78.134</v>
      </c>
      <c r="B261" s="152">
        <v>63</v>
      </c>
      <c r="C261" s="152" t="str">
        <f t="shared" si="4"/>
        <v>Upper-Middle Spend ($67,000 - $88,000)</v>
      </c>
    </row>
    <row r="262" spans="1:3">
      <c r="A262" s="152">
        <v>14.388999999999999</v>
      </c>
      <c r="B262" s="152">
        <v>43</v>
      </c>
      <c r="C262" s="152" t="str">
        <f t="shared" si="4"/>
        <v>Low Spend (&lt;$22,000)</v>
      </c>
    </row>
    <row r="263" spans="1:3">
      <c r="A263" s="152">
        <v>34.430999999999997</v>
      </c>
      <c r="B263" s="152">
        <v>12</v>
      </c>
      <c r="C263" s="152" t="str">
        <f t="shared" si="4"/>
        <v>Lower-Middle Spend ($23,000 - $44,000)</v>
      </c>
    </row>
    <row r="264" spans="1:3">
      <c r="A264" s="152">
        <v>73.447000000000003</v>
      </c>
      <c r="B264" s="152">
        <v>50</v>
      </c>
      <c r="C264" s="152" t="str">
        <f t="shared" si="4"/>
        <v>Upper-Middle Spend ($67,000 - $88,000)</v>
      </c>
    </row>
    <row r="265" spans="1:3">
      <c r="A265" s="152">
        <v>108.227</v>
      </c>
      <c r="B265" s="152">
        <v>109</v>
      </c>
      <c r="C265" s="152" t="str">
        <f t="shared" si="4"/>
        <v>High Spend ($89,000 - $132,000)</v>
      </c>
    </row>
    <row r="266" spans="1:3">
      <c r="A266" s="152">
        <v>68.197999999999993</v>
      </c>
      <c r="B266" s="152">
        <v>90</v>
      </c>
      <c r="C266" s="152" t="str">
        <f t="shared" si="4"/>
        <v>Upper-Middle Spend ($67,000 - $88,000)</v>
      </c>
    </row>
    <row r="267" spans="1:3">
      <c r="A267" s="152">
        <v>48.252000000000002</v>
      </c>
      <c r="B267" s="152">
        <v>63</v>
      </c>
      <c r="C267" s="152" t="str">
        <f t="shared" si="4"/>
        <v>Middle Spend ($45,000 - $66,000)</v>
      </c>
    </row>
    <row r="268" spans="1:3">
      <c r="A268" s="152">
        <v>67.492999999999995</v>
      </c>
      <c r="B268" s="152">
        <v>5</v>
      </c>
      <c r="C268" s="152" t="str">
        <f t="shared" si="4"/>
        <v>Upper-Middle Spend ($67,000 - $88,000)</v>
      </c>
    </row>
    <row r="269" spans="1:3">
      <c r="A269" s="152">
        <v>8.6549999999999994</v>
      </c>
      <c r="B269" s="152">
        <v>18</v>
      </c>
      <c r="C269" s="152" t="str">
        <f t="shared" si="4"/>
        <v>Low Spend (&lt;$22,000)</v>
      </c>
    </row>
    <row r="270" spans="1:3">
      <c r="A270" s="152">
        <v>122.913</v>
      </c>
      <c r="B270" s="152">
        <v>82</v>
      </c>
      <c r="C270" s="152" t="str">
        <f t="shared" si="4"/>
        <v>High Spend ($89,000 - $132,000)</v>
      </c>
    </row>
    <row r="271" spans="1:3">
      <c r="A271" s="152">
        <v>81.756</v>
      </c>
      <c r="B271" s="152">
        <v>91</v>
      </c>
      <c r="C271" s="152" t="str">
        <f t="shared" si="4"/>
        <v>Upper-Middle Spend ($67,000 - $88,000)</v>
      </c>
    </row>
    <row r="272" spans="1:3">
      <c r="A272" s="152">
        <v>76.995999999999995</v>
      </c>
      <c r="B272" s="152">
        <v>64</v>
      </c>
      <c r="C272" s="152" t="str">
        <f t="shared" si="4"/>
        <v>Upper-Middle Spend ($67,000 - $88,000)</v>
      </c>
    </row>
    <row r="273" spans="1:3">
      <c r="A273" s="152">
        <v>40.551000000000002</v>
      </c>
      <c r="B273" s="152">
        <v>29</v>
      </c>
      <c r="C273" s="152" t="str">
        <f t="shared" si="4"/>
        <v>Lower-Middle Spend ($23,000 - $44,000)</v>
      </c>
    </row>
    <row r="274" spans="1:3">
      <c r="A274" s="152">
        <v>56.929000000000002</v>
      </c>
      <c r="B274" s="152">
        <v>59</v>
      </c>
      <c r="C274" s="152" t="str">
        <f t="shared" si="4"/>
        <v>Middle Spend ($45,000 - $66,000)</v>
      </c>
    </row>
    <row r="275" spans="1:3">
      <c r="A275" s="152">
        <v>58.874000000000002</v>
      </c>
      <c r="B275" s="152">
        <v>64</v>
      </c>
      <c r="C275" s="152" t="str">
        <f t="shared" si="4"/>
        <v>Middle Spend ($45,000 - $66,000)</v>
      </c>
    </row>
    <row r="276" spans="1:3">
      <c r="A276" s="152">
        <v>10.159000000000001</v>
      </c>
      <c r="B276" s="152">
        <v>9</v>
      </c>
      <c r="C276" s="152" t="str">
        <f t="shared" si="4"/>
        <v>Low Spend (&lt;$22,000)</v>
      </c>
    </row>
    <row r="277" spans="1:3">
      <c r="A277" s="152">
        <v>37.042999999999999</v>
      </c>
      <c r="B277" s="152">
        <v>40</v>
      </c>
      <c r="C277" s="152" t="str">
        <f t="shared" si="4"/>
        <v>Lower-Middle Spend ($23,000 - $44,000)</v>
      </c>
    </row>
    <row r="278" spans="1:3">
      <c r="A278" s="152">
        <v>53.613</v>
      </c>
      <c r="B278" s="152">
        <v>80</v>
      </c>
      <c r="C278" s="152" t="str">
        <f t="shared" si="4"/>
        <v>Middle Spend ($45,000 - $66,000)</v>
      </c>
    </row>
    <row r="279" spans="1:3">
      <c r="A279" s="152">
        <v>46.360999999999997</v>
      </c>
      <c r="B279" s="152">
        <v>49</v>
      </c>
      <c r="C279" s="152" t="str">
        <f t="shared" si="4"/>
        <v>Middle Spend ($45,000 - $66,000)</v>
      </c>
    </row>
    <row r="280" spans="1:3">
      <c r="A280" s="152">
        <v>55.649000000000001</v>
      </c>
      <c r="B280" s="152">
        <v>53</v>
      </c>
      <c r="C280" s="152" t="str">
        <f t="shared" si="4"/>
        <v>Middle Spend ($45,000 - $66,000)</v>
      </c>
    </row>
    <row r="281" spans="1:3">
      <c r="A281" s="152">
        <v>32.064999999999998</v>
      </c>
      <c r="B281" s="152">
        <v>33</v>
      </c>
      <c r="C281" s="152" t="str">
        <f t="shared" si="4"/>
        <v>Lower-Middle Spend ($23,000 - $44,000)</v>
      </c>
    </row>
    <row r="282" spans="1:3">
      <c r="A282" s="152">
        <v>8.5210000000000008</v>
      </c>
      <c r="B282" s="152">
        <v>14</v>
      </c>
      <c r="C282" s="152" t="str">
        <f t="shared" si="4"/>
        <v>Low Spend (&lt;$22,000)</v>
      </c>
    </row>
    <row r="283" spans="1:3">
      <c r="A283" s="152">
        <v>31.047999999999998</v>
      </c>
      <c r="B283" s="152">
        <v>48</v>
      </c>
      <c r="C283" s="152" t="str">
        <f t="shared" si="4"/>
        <v>Lower-Middle Spend ($23,000 - $44,000)</v>
      </c>
    </row>
    <row r="284" spans="1:3">
      <c r="A284" s="152">
        <v>15.81</v>
      </c>
      <c r="B284" s="152">
        <v>24</v>
      </c>
      <c r="C284" s="152" t="str">
        <f t="shared" si="4"/>
        <v>Low Spend (&lt;$22,000)</v>
      </c>
    </row>
    <row r="285" spans="1:3">
      <c r="A285" s="152">
        <v>52.011000000000003</v>
      </c>
      <c r="B285" s="152">
        <v>40</v>
      </c>
      <c r="C285" s="152" t="str">
        <f t="shared" si="4"/>
        <v>Middle Spend ($45,000 - $66,000)</v>
      </c>
    </row>
    <row r="286" spans="1:3">
      <c r="A286" s="152">
        <v>19.332999999999998</v>
      </c>
      <c r="B286" s="152">
        <v>11</v>
      </c>
      <c r="C286" s="152" t="str">
        <f t="shared" si="4"/>
        <v>Low Spend (&lt;$22,000)</v>
      </c>
    </row>
    <row r="287" spans="1:3">
      <c r="A287" s="152">
        <v>22.359000000000002</v>
      </c>
      <c r="B287" s="152">
        <v>39</v>
      </c>
      <c r="C287" s="152" t="str">
        <f t="shared" si="4"/>
        <v>Lower-Middle Spend ($23,000 - $44,000)</v>
      </c>
    </row>
    <row r="288" spans="1:3">
      <c r="A288" s="152">
        <v>23.946000000000002</v>
      </c>
      <c r="B288" s="152">
        <v>10</v>
      </c>
      <c r="C288" s="152" t="str">
        <f t="shared" si="4"/>
        <v>Lower-Middle Spend ($23,000 - $44,000)</v>
      </c>
    </row>
    <row r="289" spans="1:3">
      <c r="A289" s="152">
        <v>49.584000000000003</v>
      </c>
      <c r="B289" s="152">
        <v>48</v>
      </c>
      <c r="C289" s="152" t="str">
        <f t="shared" si="4"/>
        <v>Middle Spend ($45,000 - $66,000)</v>
      </c>
    </row>
    <row r="290" spans="1:3">
      <c r="A290" s="152">
        <v>17.37</v>
      </c>
      <c r="B290" s="152">
        <v>14</v>
      </c>
      <c r="C290" s="152" t="str">
        <f t="shared" si="4"/>
        <v>Low Spend (&lt;$22,000)</v>
      </c>
    </row>
    <row r="291" spans="1:3">
      <c r="A291" s="152">
        <v>37.393000000000001</v>
      </c>
      <c r="B291" s="152">
        <v>63</v>
      </c>
      <c r="C291" s="152" t="str">
        <f t="shared" si="4"/>
        <v>Lower-Middle Spend ($23,000 - $44,000)</v>
      </c>
    </row>
    <row r="292" spans="1:3">
      <c r="A292" s="152">
        <v>79.382000000000005</v>
      </c>
      <c r="B292" s="152">
        <v>34</v>
      </c>
      <c r="C292" s="152" t="str">
        <f t="shared" si="4"/>
        <v>Upper-Middle Spend ($67,000 - $88,000)</v>
      </c>
    </row>
    <row r="293" spans="1:3">
      <c r="A293" s="152">
        <v>48.103000000000002</v>
      </c>
      <c r="B293" s="152">
        <v>97</v>
      </c>
      <c r="C293" s="152" t="str">
        <f t="shared" si="4"/>
        <v>Middle Spend ($45,000 - $66,000)</v>
      </c>
    </row>
    <row r="294" spans="1:3">
      <c r="A294" s="152">
        <v>33.335999999999999</v>
      </c>
      <c r="B294" s="152">
        <v>52</v>
      </c>
      <c r="C294" s="152" t="str">
        <f t="shared" si="4"/>
        <v>Lower-Middle Spend ($23,000 - $44,000)</v>
      </c>
    </row>
    <row r="295" spans="1:3">
      <c r="A295" s="152">
        <v>80.941000000000003</v>
      </c>
      <c r="B295" s="152">
        <v>106</v>
      </c>
      <c r="C295" s="152" t="str">
        <f t="shared" si="4"/>
        <v>Upper-Middle Spend ($67,000 - $88,000)</v>
      </c>
    </row>
    <row r="296" spans="1:3">
      <c r="A296" s="152">
        <v>38.837000000000003</v>
      </c>
      <c r="B296" s="152">
        <v>12</v>
      </c>
      <c r="C296" s="152" t="str">
        <f t="shared" si="4"/>
        <v>Lower-Middle Spend ($23,000 - $44,000)</v>
      </c>
    </row>
    <row r="297" spans="1:3">
      <c r="A297" s="152">
        <v>80.108999999999995</v>
      </c>
      <c r="B297" s="152">
        <v>115</v>
      </c>
      <c r="C297" s="152" t="str">
        <f t="shared" si="4"/>
        <v>Upper-Middle Spend ($67,000 - $88,000)</v>
      </c>
    </row>
    <row r="298" spans="1:3">
      <c r="A298" s="152">
        <v>84.346000000000004</v>
      </c>
      <c r="B298" s="152">
        <v>47</v>
      </c>
      <c r="C298" s="152" t="str">
        <f t="shared" si="4"/>
        <v>Upper-Middle Spend ($67,000 - $88,000)</v>
      </c>
    </row>
    <row r="299" spans="1:3">
      <c r="A299" s="152">
        <v>38.698</v>
      </c>
      <c r="B299" s="152">
        <v>66</v>
      </c>
      <c r="C299" s="152" t="str">
        <f t="shared" si="4"/>
        <v>Lower-Middle Spend ($23,000 - $44,000)</v>
      </c>
    </row>
    <row r="300" spans="1:3">
      <c r="A300" s="152">
        <v>53.28</v>
      </c>
      <c r="B300" s="152">
        <v>6</v>
      </c>
      <c r="C300" s="152" t="str">
        <f t="shared" si="4"/>
        <v>Middle Spend ($45,000 - $66,000)</v>
      </c>
    </row>
    <row r="301" spans="1:3">
      <c r="A301" s="152">
        <v>66.981999999999999</v>
      </c>
      <c r="B301" s="152">
        <v>76</v>
      </c>
      <c r="C301" s="152" t="str">
        <f t="shared" si="4"/>
        <v>Upper-Middle Spend ($67,000 - $88,000)</v>
      </c>
    </row>
    <row r="302" spans="1:3">
      <c r="A302" s="152">
        <v>21.126999999999999</v>
      </c>
      <c r="B302" s="152">
        <v>46</v>
      </c>
      <c r="C302" s="152" t="str">
        <f t="shared" si="4"/>
        <v>Low Spend (&lt;$22,000)</v>
      </c>
    </row>
    <row r="303" spans="1:3">
      <c r="A303" s="152">
        <v>21.079000000000001</v>
      </c>
      <c r="B303" s="152">
        <v>52</v>
      </c>
      <c r="C303" s="152" t="str">
        <f t="shared" si="4"/>
        <v>Low Spend (&lt;$22,000)</v>
      </c>
    </row>
    <row r="304" spans="1:3">
      <c r="A304" s="152">
        <v>14.46</v>
      </c>
      <c r="B304" s="152">
        <v>13</v>
      </c>
      <c r="C304" s="152" t="str">
        <f t="shared" si="4"/>
        <v>Low Spend (&lt;$22,000)</v>
      </c>
    </row>
    <row r="305" spans="1:3">
      <c r="A305" s="152">
        <v>39.276000000000003</v>
      </c>
      <c r="B305" s="152">
        <v>58</v>
      </c>
      <c r="C305" s="152" t="str">
        <f t="shared" si="4"/>
        <v>Lower-Middle Spend ($23,000 - $44,000)</v>
      </c>
    </row>
    <row r="306" spans="1:3">
      <c r="A306" s="152">
        <v>89.844999999999999</v>
      </c>
      <c r="B306" s="152">
        <v>14</v>
      </c>
      <c r="C306" s="152" t="str">
        <f t="shared" si="4"/>
        <v>High Spend ($89,000 - $132,000)</v>
      </c>
    </row>
    <row r="307" spans="1:3">
      <c r="A307" s="152">
        <v>75.736000000000004</v>
      </c>
      <c r="B307" s="152">
        <v>8</v>
      </c>
      <c r="C307" s="152" t="str">
        <f t="shared" si="4"/>
        <v>Upper-Middle Spend ($67,000 - $88,000)</v>
      </c>
    </row>
    <row r="308" spans="1:3">
      <c r="A308" s="152">
        <v>38.142000000000003</v>
      </c>
      <c r="B308" s="152">
        <v>76</v>
      </c>
      <c r="C308" s="152" t="str">
        <f t="shared" si="4"/>
        <v>Lower-Middle Spend ($23,000 - $44,000)</v>
      </c>
    </row>
    <row r="309" spans="1:3">
      <c r="A309" s="152">
        <v>7.3719999999999999</v>
      </c>
      <c r="B309" s="152">
        <v>18</v>
      </c>
      <c r="C309" s="152" t="str">
        <f t="shared" si="4"/>
        <v>Low Spend (&lt;$22,000)</v>
      </c>
    </row>
    <row r="310" spans="1:3">
      <c r="A310" s="152">
        <v>54.445999999999998</v>
      </c>
      <c r="B310" s="152">
        <v>45</v>
      </c>
      <c r="C310" s="152" t="str">
        <f t="shared" si="4"/>
        <v>Middle Spend ($45,000 - $66,000)</v>
      </c>
    </row>
    <row r="311" spans="1:3">
      <c r="A311" s="152">
        <v>73.381</v>
      </c>
      <c r="B311" s="152">
        <v>31</v>
      </c>
      <c r="C311" s="152" t="str">
        <f t="shared" si="4"/>
        <v>Upper-Middle Spend ($67,000 - $88,000)</v>
      </c>
    </row>
    <row r="312" spans="1:3">
      <c r="A312" s="152">
        <v>88.269000000000005</v>
      </c>
      <c r="B312" s="152">
        <v>118</v>
      </c>
      <c r="C312" s="152" t="str">
        <f t="shared" si="4"/>
        <v>High Spend ($89,000 - $132,000)</v>
      </c>
    </row>
    <row r="313" spans="1:3">
      <c r="A313" s="152">
        <v>52.216000000000001</v>
      </c>
      <c r="B313" s="152">
        <v>63</v>
      </c>
      <c r="C313" s="152" t="str">
        <f t="shared" si="4"/>
        <v>Middle Spend ($45,000 - $66,000)</v>
      </c>
    </row>
    <row r="314" spans="1:3">
      <c r="A314" s="152">
        <v>65.174000000000007</v>
      </c>
      <c r="B314" s="152">
        <v>35</v>
      </c>
      <c r="C314" s="152" t="str">
        <f t="shared" si="4"/>
        <v>Middle Spend ($45,000 - $66,000)</v>
      </c>
    </row>
    <row r="315" spans="1:3">
      <c r="A315" s="152">
        <v>12.454000000000001</v>
      </c>
      <c r="B315" s="152">
        <v>30</v>
      </c>
      <c r="C315" s="152" t="str">
        <f t="shared" si="4"/>
        <v>Low Spend (&lt;$22,000)</v>
      </c>
    </row>
    <row r="316" spans="1:3">
      <c r="A316" s="152">
        <v>30.308</v>
      </c>
      <c r="B316" s="152">
        <v>66</v>
      </c>
      <c r="C316" s="152" t="str">
        <f t="shared" si="4"/>
        <v>Lower-Middle Spend ($23,000 - $44,000)</v>
      </c>
    </row>
    <row r="317" spans="1:3">
      <c r="A317" s="152">
        <v>21.396000000000001</v>
      </c>
      <c r="B317" s="152">
        <v>93</v>
      </c>
      <c r="C317" s="152" t="str">
        <f t="shared" si="4"/>
        <v>Low Spend (&lt;$22,000)</v>
      </c>
    </row>
    <row r="318" spans="1:3">
      <c r="A318" s="152">
        <v>28.696999999999999</v>
      </c>
      <c r="B318" s="152">
        <v>80</v>
      </c>
      <c r="C318" s="152" t="str">
        <f t="shared" si="4"/>
        <v>Lower-Middle Spend ($23,000 - $44,000)</v>
      </c>
    </row>
    <row r="319" spans="1:3">
      <c r="A319" s="152">
        <v>108.714</v>
      </c>
      <c r="B319" s="152">
        <v>87</v>
      </c>
      <c r="C319" s="152" t="str">
        <f t="shared" si="4"/>
        <v>High Spend ($89,000 - $132,000)</v>
      </c>
    </row>
    <row r="320" spans="1:3">
      <c r="A320" s="152">
        <v>41.234999999999999</v>
      </c>
      <c r="B320" s="152">
        <v>38</v>
      </c>
      <c r="C320" s="152" t="str">
        <f t="shared" si="4"/>
        <v>Lower-Middle Spend ($23,000 - $44,000)</v>
      </c>
    </row>
    <row r="321" spans="1:3">
      <c r="A321" s="152">
        <v>54.036999999999999</v>
      </c>
      <c r="B321" s="152">
        <v>28</v>
      </c>
      <c r="C321" s="152" t="str">
        <f t="shared" si="4"/>
        <v>Middle Spend ($45,000 - $66,000)</v>
      </c>
    </row>
    <row r="322" spans="1:3">
      <c r="A322" s="152">
        <v>24.859000000000002</v>
      </c>
      <c r="B322" s="152">
        <v>13</v>
      </c>
      <c r="C322" s="152" t="str">
        <f t="shared" si="4"/>
        <v>Lower-Middle Spend ($23,000 - $44,000)</v>
      </c>
    </row>
    <row r="323" spans="1:3">
      <c r="A323" s="152">
        <v>34.957000000000001</v>
      </c>
      <c r="B323" s="152">
        <v>48</v>
      </c>
      <c r="C323" s="152" t="str">
        <f t="shared" ref="C323:C386" si="5">IF(A323&lt;22, "Low Spend (&lt;$22,000)", IF(A323&lt;=44, "Lower-Middle Spend ($23,000 - $44,000)", IF(A323&lt;=66, "Middle Spend ($45,000 - $66,000)", IF(A323&lt;=88, "Upper-Middle Spend ($67,000 - $88,000)", IF(A323&lt;=132, "High Spend ($89,000 - $132,000)", "Premium Spend (&gt;$132,000)")))))</f>
        <v>Lower-Middle Spend ($23,000 - $44,000)</v>
      </c>
    </row>
    <row r="324" spans="1:3">
      <c r="A324" s="152">
        <v>70.081000000000003</v>
      </c>
      <c r="B324" s="152">
        <v>95</v>
      </c>
      <c r="C324" s="152" t="str">
        <f t="shared" si="5"/>
        <v>Upper-Middle Spend ($67,000 - $88,000)</v>
      </c>
    </row>
    <row r="325" spans="1:3">
      <c r="A325" s="152">
        <v>56.091000000000001</v>
      </c>
      <c r="B325" s="152">
        <v>11</v>
      </c>
      <c r="C325" s="152" t="str">
        <f t="shared" si="5"/>
        <v>Middle Spend ($45,000 - $66,000)</v>
      </c>
    </row>
    <row r="326" spans="1:3">
      <c r="A326" s="152">
        <v>64.025000000000006</v>
      </c>
      <c r="B326" s="152">
        <v>83</v>
      </c>
      <c r="C326" s="152" t="str">
        <f t="shared" si="5"/>
        <v>Middle Spend ($45,000 - $66,000)</v>
      </c>
    </row>
    <row r="327" spans="1:3">
      <c r="A327" s="152">
        <v>22.879000000000001</v>
      </c>
      <c r="B327" s="152">
        <v>37</v>
      </c>
      <c r="C327" s="152" t="str">
        <f t="shared" si="5"/>
        <v>Lower-Middle Spend ($23,000 - $44,000)</v>
      </c>
    </row>
    <row r="328" spans="1:3">
      <c r="A328" s="152">
        <v>7.2770000000000001</v>
      </c>
      <c r="B328" s="152">
        <v>11</v>
      </c>
      <c r="C328" s="152" t="str">
        <f t="shared" si="5"/>
        <v>Low Spend (&lt;$22,000)</v>
      </c>
    </row>
    <row r="329" spans="1:3">
      <c r="A329" s="152">
        <v>56.250999999999998</v>
      </c>
      <c r="B329" s="152">
        <v>27</v>
      </c>
      <c r="C329" s="152" t="str">
        <f t="shared" si="5"/>
        <v>Middle Spend ($45,000 - $66,000)</v>
      </c>
    </row>
    <row r="330" spans="1:3">
      <c r="A330" s="152">
        <v>22.423999999999999</v>
      </c>
      <c r="B330" s="152">
        <v>38</v>
      </c>
      <c r="C330" s="152" t="str">
        <f t="shared" si="5"/>
        <v>Lower-Middle Spend ($23,000 - $44,000)</v>
      </c>
    </row>
    <row r="331" spans="1:3">
      <c r="A331" s="152">
        <v>31.222999999999999</v>
      </c>
      <c r="B331" s="152">
        <v>43</v>
      </c>
      <c r="C331" s="152" t="str">
        <f t="shared" si="5"/>
        <v>Lower-Middle Spend ($23,000 - $44,000)</v>
      </c>
    </row>
    <row r="332" spans="1:3">
      <c r="A332" s="152">
        <v>67.263999999999996</v>
      </c>
      <c r="B332" s="152">
        <v>28</v>
      </c>
      <c r="C332" s="152" t="str">
        <f t="shared" si="5"/>
        <v>Upper-Middle Spend ($67,000 - $88,000)</v>
      </c>
    </row>
    <row r="333" spans="1:3">
      <c r="A333" s="152">
        <v>37.622</v>
      </c>
      <c r="B333" s="152">
        <v>99</v>
      </c>
      <c r="C333" s="152" t="str">
        <f t="shared" si="5"/>
        <v>Lower-Middle Spend ($23,000 - $44,000)</v>
      </c>
    </row>
    <row r="334" spans="1:3">
      <c r="A334" s="152">
        <v>32.847000000000001</v>
      </c>
      <c r="B334" s="152">
        <v>18</v>
      </c>
      <c r="C334" s="152" t="str">
        <f t="shared" si="5"/>
        <v>Lower-Middle Spend ($23,000 - $44,000)</v>
      </c>
    </row>
    <row r="335" spans="1:3">
      <c r="A335" s="152">
        <v>38.247999999999998</v>
      </c>
      <c r="B335" s="152">
        <v>24</v>
      </c>
      <c r="C335" s="152" t="str">
        <f t="shared" si="5"/>
        <v>Lower-Middle Spend ($23,000 - $44,000)</v>
      </c>
    </row>
    <row r="336" spans="1:3">
      <c r="A336" s="152">
        <v>20.559000000000001</v>
      </c>
      <c r="B336" s="152">
        <v>56</v>
      </c>
      <c r="C336" s="152" t="str">
        <f t="shared" si="5"/>
        <v>Low Spend (&lt;$22,000)</v>
      </c>
    </row>
    <row r="337" spans="1:3">
      <c r="A337" s="152">
        <v>47.703000000000003</v>
      </c>
      <c r="B337" s="152">
        <v>51</v>
      </c>
      <c r="C337" s="152" t="str">
        <f t="shared" si="5"/>
        <v>Middle Spend ($45,000 - $66,000)</v>
      </c>
    </row>
    <row r="338" spans="1:3">
      <c r="A338" s="152">
        <v>25.73</v>
      </c>
      <c r="B338" s="152">
        <v>86</v>
      </c>
      <c r="C338" s="152" t="str">
        <f t="shared" si="5"/>
        <v>Lower-Middle Spend ($23,000 - $44,000)</v>
      </c>
    </row>
    <row r="339" spans="1:3">
      <c r="A339" s="152">
        <v>65.188000000000002</v>
      </c>
      <c r="B339" s="152">
        <v>66</v>
      </c>
      <c r="C339" s="152" t="str">
        <f t="shared" si="5"/>
        <v>Middle Spend ($45,000 - $66,000)</v>
      </c>
    </row>
    <row r="340" spans="1:3">
      <c r="A340" s="152">
        <v>69.259</v>
      </c>
      <c r="B340" s="152">
        <v>44</v>
      </c>
      <c r="C340" s="152" t="str">
        <f t="shared" si="5"/>
        <v>Upper-Middle Spend ($67,000 - $88,000)</v>
      </c>
    </row>
    <row r="341" spans="1:3">
      <c r="A341" s="152">
        <v>21.105</v>
      </c>
      <c r="B341" s="152">
        <v>62</v>
      </c>
      <c r="C341" s="152" t="str">
        <f t="shared" si="5"/>
        <v>Low Spend (&lt;$22,000)</v>
      </c>
    </row>
    <row r="342" spans="1:3">
      <c r="A342" s="152">
        <v>83.373000000000005</v>
      </c>
      <c r="B342" s="152">
        <v>6</v>
      </c>
      <c r="C342" s="152" t="str">
        <f t="shared" si="5"/>
        <v>Upper-Middle Spend ($67,000 - $88,000)</v>
      </c>
    </row>
    <row r="343" spans="1:3">
      <c r="A343" s="152">
        <v>49.087000000000003</v>
      </c>
      <c r="B343" s="152">
        <v>58</v>
      </c>
      <c r="C343" s="152" t="str">
        <f t="shared" si="5"/>
        <v>Middle Spend ($45,000 - $66,000)</v>
      </c>
    </row>
    <row r="344" spans="1:3">
      <c r="A344" s="152">
        <v>31.585000000000001</v>
      </c>
      <c r="B344" s="152">
        <v>80</v>
      </c>
      <c r="C344" s="152" t="str">
        <f t="shared" si="5"/>
        <v>Lower-Middle Spend ($23,000 - $44,000)</v>
      </c>
    </row>
    <row r="345" spans="1:3">
      <c r="A345" s="152">
        <v>8.7080000000000002</v>
      </c>
      <c r="B345" s="152">
        <v>13</v>
      </c>
      <c r="C345" s="152" t="str">
        <f t="shared" si="5"/>
        <v>Low Spend (&lt;$22,000)</v>
      </c>
    </row>
    <row r="346" spans="1:3">
      <c r="A346" s="152">
        <v>29.417000000000002</v>
      </c>
      <c r="B346" s="152">
        <v>70</v>
      </c>
      <c r="C346" s="152" t="str">
        <f t="shared" si="5"/>
        <v>Lower-Middle Spend ($23,000 - $44,000)</v>
      </c>
    </row>
    <row r="347" spans="1:3">
      <c r="A347" s="152">
        <v>63.65</v>
      </c>
      <c r="B347" s="152">
        <v>72</v>
      </c>
      <c r="C347" s="152" t="str">
        <f t="shared" si="5"/>
        <v>Middle Spend ($45,000 - $66,000)</v>
      </c>
    </row>
    <row r="348" spans="1:3">
      <c r="A348" s="152">
        <v>37.139000000000003</v>
      </c>
      <c r="B348" s="152">
        <v>93</v>
      </c>
      <c r="C348" s="152" t="str">
        <f t="shared" si="5"/>
        <v>Lower-Middle Spend ($23,000 - $44,000)</v>
      </c>
    </row>
    <row r="349" spans="1:3">
      <c r="A349" s="152">
        <v>59.518999999999998</v>
      </c>
      <c r="B349" s="152">
        <v>52</v>
      </c>
      <c r="C349" s="152" t="str">
        <f t="shared" si="5"/>
        <v>Middle Spend ($45,000 - $66,000)</v>
      </c>
    </row>
    <row r="350" spans="1:3">
      <c r="A350" s="152">
        <v>53.723999999999997</v>
      </c>
      <c r="B350" s="152">
        <v>25</v>
      </c>
      <c r="C350" s="152" t="str">
        <f t="shared" si="5"/>
        <v>Middle Spend ($45,000 - $66,000)</v>
      </c>
    </row>
    <row r="351" spans="1:3">
      <c r="A351" s="152">
        <v>36.396000000000001</v>
      </c>
      <c r="B351" s="152">
        <v>10</v>
      </c>
      <c r="C351" s="152" t="str">
        <f t="shared" si="5"/>
        <v>Lower-Middle Spend ($23,000 - $44,000)</v>
      </c>
    </row>
    <row r="352" spans="1:3">
      <c r="A352" s="152">
        <v>28.404</v>
      </c>
      <c r="B352" s="152">
        <v>83</v>
      </c>
      <c r="C352" s="152" t="str">
        <f t="shared" si="5"/>
        <v>Lower-Middle Spend ($23,000 - $44,000)</v>
      </c>
    </row>
    <row r="353" spans="1:3">
      <c r="A353" s="152">
        <v>56.265999999999998</v>
      </c>
      <c r="B353" s="152">
        <v>36</v>
      </c>
      <c r="C353" s="152" t="str">
        <f t="shared" si="5"/>
        <v>Middle Spend ($45,000 - $66,000)</v>
      </c>
    </row>
    <row r="354" spans="1:3">
      <c r="A354" s="152">
        <v>65.697000000000003</v>
      </c>
      <c r="B354" s="152">
        <v>96</v>
      </c>
      <c r="C354" s="152" t="str">
        <f t="shared" si="5"/>
        <v>Middle Spend ($45,000 - $66,000)</v>
      </c>
    </row>
    <row r="355" spans="1:3">
      <c r="A355" s="152">
        <v>56.802999999999997</v>
      </c>
      <c r="B355" s="152">
        <v>72</v>
      </c>
      <c r="C355" s="152" t="str">
        <f t="shared" si="5"/>
        <v>Middle Spend ($45,000 - $66,000)</v>
      </c>
    </row>
    <row r="356" spans="1:3">
      <c r="A356" s="152">
        <v>68.638000000000005</v>
      </c>
      <c r="B356" s="152">
        <v>16</v>
      </c>
      <c r="C356" s="152" t="str">
        <f t="shared" si="5"/>
        <v>Upper-Middle Spend ($67,000 - $88,000)</v>
      </c>
    </row>
    <row r="357" spans="1:3">
      <c r="A357" s="152">
        <v>67.024000000000001</v>
      </c>
      <c r="B357" s="152">
        <v>67</v>
      </c>
      <c r="C357" s="152" t="str">
        <f t="shared" si="5"/>
        <v>Upper-Middle Spend ($67,000 - $88,000)</v>
      </c>
    </row>
    <row r="358" spans="1:3">
      <c r="A358" s="152">
        <v>23.2</v>
      </c>
      <c r="B358" s="152">
        <v>49</v>
      </c>
      <c r="C358" s="152" t="str">
        <f t="shared" si="5"/>
        <v>Lower-Middle Spend ($23,000 - $44,000)</v>
      </c>
    </row>
    <row r="359" spans="1:3">
      <c r="A359" s="152">
        <v>49.152999999999999</v>
      </c>
      <c r="B359" s="152">
        <v>45</v>
      </c>
      <c r="C359" s="152" t="str">
        <f t="shared" si="5"/>
        <v>Middle Spend ($45,000 - $66,000)</v>
      </c>
    </row>
    <row r="360" spans="1:3">
      <c r="A360" s="152">
        <v>52.996000000000002</v>
      </c>
      <c r="B360" s="152">
        <v>57</v>
      </c>
      <c r="C360" s="152" t="str">
        <f t="shared" si="5"/>
        <v>Middle Spend ($45,000 - $66,000)</v>
      </c>
    </row>
    <row r="361" spans="1:3">
      <c r="A361" s="152">
        <v>26.882000000000001</v>
      </c>
      <c r="B361" s="152">
        <v>45</v>
      </c>
      <c r="C361" s="152" t="str">
        <f t="shared" si="5"/>
        <v>Lower-Middle Spend ($23,000 - $44,000)</v>
      </c>
    </row>
    <row r="362" spans="1:3">
      <c r="A362" s="152">
        <v>52.482999999999997</v>
      </c>
      <c r="B362" s="152">
        <v>92</v>
      </c>
      <c r="C362" s="152" t="str">
        <f t="shared" si="5"/>
        <v>Middle Spend ($45,000 - $66,000)</v>
      </c>
    </row>
    <row r="363" spans="1:3">
      <c r="A363" s="152">
        <v>55.899000000000001</v>
      </c>
      <c r="B363" s="152">
        <v>53</v>
      </c>
      <c r="C363" s="152" t="str">
        <f t="shared" si="5"/>
        <v>Middle Spend ($45,000 - $66,000)</v>
      </c>
    </row>
    <row r="364" spans="1:3">
      <c r="A364" s="152">
        <v>45.930999999999997</v>
      </c>
      <c r="B364" s="152">
        <v>43</v>
      </c>
      <c r="C364" s="152" t="str">
        <f t="shared" si="5"/>
        <v>Middle Spend ($45,000 - $66,000)</v>
      </c>
    </row>
    <row r="365" spans="1:3">
      <c r="A365" s="152">
        <v>44.101999999999997</v>
      </c>
      <c r="B365" s="152">
        <v>65</v>
      </c>
      <c r="C365" s="152" t="str">
        <f t="shared" si="5"/>
        <v>Middle Spend ($45,000 - $66,000)</v>
      </c>
    </row>
    <row r="366" spans="1:3">
      <c r="A366" s="152">
        <v>56.399000000000001</v>
      </c>
      <c r="B366" s="152">
        <v>50</v>
      </c>
      <c r="C366" s="152" t="str">
        <f t="shared" si="5"/>
        <v>Middle Spend ($45,000 - $66,000)</v>
      </c>
    </row>
    <row r="367" spans="1:3">
      <c r="A367" s="152">
        <v>28.715</v>
      </c>
      <c r="B367" s="152">
        <v>33</v>
      </c>
      <c r="C367" s="152" t="str">
        <f t="shared" si="5"/>
        <v>Lower-Middle Spend ($23,000 - $44,000)</v>
      </c>
    </row>
    <row r="368" spans="1:3">
      <c r="A368" s="152">
        <v>68.61</v>
      </c>
      <c r="B368" s="152">
        <v>99</v>
      </c>
      <c r="C368" s="152" t="str">
        <f t="shared" si="5"/>
        <v>Upper-Middle Spend ($67,000 - $88,000)</v>
      </c>
    </row>
    <row r="369" spans="1:3">
      <c r="A369" s="152">
        <v>46.334000000000003</v>
      </c>
      <c r="B369" s="152">
        <v>44</v>
      </c>
      <c r="C369" s="152" t="str">
        <f t="shared" si="5"/>
        <v>Middle Spend ($45,000 - $66,000)</v>
      </c>
    </row>
    <row r="370" spans="1:3">
      <c r="A370" s="152">
        <v>52.887</v>
      </c>
      <c r="B370" s="152">
        <v>57</v>
      </c>
      <c r="C370" s="152" t="str">
        <f t="shared" si="5"/>
        <v>Middle Spend ($45,000 - $66,000)</v>
      </c>
    </row>
    <row r="371" spans="1:3">
      <c r="A371" s="152">
        <v>60.918999999999997</v>
      </c>
      <c r="B371" s="152">
        <v>65</v>
      </c>
      <c r="C371" s="152" t="str">
        <f t="shared" si="5"/>
        <v>Middle Spend ($45,000 - $66,000)</v>
      </c>
    </row>
    <row r="372" spans="1:3">
      <c r="A372" s="152">
        <v>58.548000000000002</v>
      </c>
      <c r="B372" s="152">
        <v>52</v>
      </c>
      <c r="C372" s="152" t="str">
        <f t="shared" si="5"/>
        <v>Middle Spend ($45,000 - $66,000)</v>
      </c>
    </row>
    <row r="373" spans="1:3">
      <c r="A373" s="152">
        <v>66.304000000000002</v>
      </c>
      <c r="B373" s="152">
        <v>6</v>
      </c>
      <c r="C373" s="152" t="str">
        <f t="shared" si="5"/>
        <v>Upper-Middle Spend ($67,000 - $88,000)</v>
      </c>
    </row>
    <row r="374" spans="1:3">
      <c r="A374" s="152">
        <v>50.298000000000002</v>
      </c>
      <c r="B374" s="152">
        <v>41</v>
      </c>
      <c r="C374" s="152" t="str">
        <f t="shared" si="5"/>
        <v>Middle Spend ($45,000 - $66,000)</v>
      </c>
    </row>
    <row r="375" spans="1:3">
      <c r="A375" s="152">
        <v>68.683000000000007</v>
      </c>
      <c r="B375" s="152">
        <v>38</v>
      </c>
      <c r="C375" s="152" t="str">
        <f t="shared" si="5"/>
        <v>Upper-Middle Spend ($67,000 - $88,000)</v>
      </c>
    </row>
    <row r="376" spans="1:3">
      <c r="A376" s="152">
        <v>47.271999999999998</v>
      </c>
      <c r="B376" s="152">
        <v>68</v>
      </c>
      <c r="C376" s="152" t="str">
        <f t="shared" si="5"/>
        <v>Middle Spend ($45,000 - $66,000)</v>
      </c>
    </row>
    <row r="377" spans="1:3">
      <c r="A377" s="152">
        <v>22.423999999999999</v>
      </c>
      <c r="B377" s="152">
        <v>15</v>
      </c>
      <c r="C377" s="152" t="str">
        <f t="shared" si="5"/>
        <v>Lower-Middle Spend ($23,000 - $44,000)</v>
      </c>
    </row>
    <row r="378" spans="1:3">
      <c r="A378" s="152">
        <v>36.564</v>
      </c>
      <c r="B378" s="152">
        <v>27</v>
      </c>
      <c r="C378" s="152" t="str">
        <f t="shared" si="5"/>
        <v>Lower-Middle Spend ($23,000 - $44,000)</v>
      </c>
    </row>
    <row r="379" spans="1:3">
      <c r="A379" s="152">
        <v>13.78</v>
      </c>
      <c r="B379" s="152">
        <v>14</v>
      </c>
      <c r="C379" s="152" t="str">
        <f t="shared" si="5"/>
        <v>Low Spend (&lt;$22,000)</v>
      </c>
    </row>
    <row r="380" spans="1:3">
      <c r="A380" s="152">
        <v>55.085999999999999</v>
      </c>
      <c r="B380" s="152">
        <v>57</v>
      </c>
      <c r="C380" s="152" t="str">
        <f t="shared" si="5"/>
        <v>Middle Spend ($45,000 - $66,000)</v>
      </c>
    </row>
    <row r="381" spans="1:3">
      <c r="A381" s="152">
        <v>31.138999999999999</v>
      </c>
      <c r="B381" s="152">
        <v>63</v>
      </c>
      <c r="C381" s="152" t="str">
        <f t="shared" si="5"/>
        <v>Lower-Middle Spend ($23,000 - $44,000)</v>
      </c>
    </row>
    <row r="382" spans="1:3">
      <c r="A382" s="152">
        <v>60.865000000000002</v>
      </c>
      <c r="B382" s="152">
        <v>44</v>
      </c>
      <c r="C382" s="152" t="str">
        <f t="shared" si="5"/>
        <v>Middle Spend ($45,000 - $66,000)</v>
      </c>
    </row>
    <row r="383" spans="1:3">
      <c r="A383" s="152">
        <v>53.237000000000002</v>
      </c>
      <c r="B383" s="152">
        <v>35</v>
      </c>
      <c r="C383" s="152" t="str">
        <f t="shared" si="5"/>
        <v>Middle Spend ($45,000 - $66,000)</v>
      </c>
    </row>
    <row r="384" spans="1:3">
      <c r="A384" s="152">
        <v>10.146000000000001</v>
      </c>
      <c r="B384" s="152">
        <v>6</v>
      </c>
      <c r="C384" s="152" t="str">
        <f t="shared" si="5"/>
        <v>Low Spend (&lt;$22,000)</v>
      </c>
    </row>
    <row r="385" spans="1:3">
      <c r="A385" s="152">
        <v>42.595999999999997</v>
      </c>
      <c r="B385" s="152">
        <v>38</v>
      </c>
      <c r="C385" s="152" t="str">
        <f t="shared" si="5"/>
        <v>Lower-Middle Spend ($23,000 - $44,000)</v>
      </c>
    </row>
    <row r="386" spans="1:3">
      <c r="A386" s="152">
        <v>39.588000000000001</v>
      </c>
      <c r="B386" s="152">
        <v>50</v>
      </c>
      <c r="C386" s="152" t="str">
        <f t="shared" si="5"/>
        <v>Lower-Middle Spend ($23,000 - $44,000)</v>
      </c>
    </row>
    <row r="387" spans="1:3">
      <c r="A387" s="152">
        <v>28.082000000000001</v>
      </c>
      <c r="B387" s="152">
        <v>45</v>
      </c>
      <c r="C387" s="152" t="str">
        <f t="shared" ref="C387:C401" si="6">IF(A387&lt;22, "Low Spend (&lt;$22,000)", IF(A387&lt;=44, "Lower-Middle Spend ($23,000 - $44,000)", IF(A387&lt;=66, "Middle Spend ($45,000 - $66,000)", IF(A387&lt;=88, "Upper-Middle Spend ($67,000 - $88,000)", IF(A387&lt;=132, "High Spend ($89,000 - $132,000)", "Premium Spend (&gt;$132,000)")))))</f>
        <v>Lower-Middle Spend ($23,000 - $44,000)</v>
      </c>
    </row>
    <row r="388" spans="1:3">
      <c r="A388" s="152">
        <v>47.07</v>
      </c>
      <c r="B388" s="152">
        <v>51</v>
      </c>
      <c r="C388" s="152" t="str">
        <f t="shared" si="6"/>
        <v>Middle Spend ($45,000 - $66,000)</v>
      </c>
    </row>
    <row r="389" spans="1:3">
      <c r="A389" s="152">
        <v>47.037999999999997</v>
      </c>
      <c r="B389" s="152">
        <v>77</v>
      </c>
      <c r="C389" s="152" t="str">
        <f t="shared" si="6"/>
        <v>Middle Spend ($45,000 - $66,000)</v>
      </c>
    </row>
    <row r="390" spans="1:3">
      <c r="A390" s="152">
        <v>38.031999999999996</v>
      </c>
      <c r="B390" s="152">
        <v>39</v>
      </c>
      <c r="C390" s="152" t="str">
        <f t="shared" si="6"/>
        <v>Lower-Middle Spend ($23,000 - $44,000)</v>
      </c>
    </row>
    <row r="391" spans="1:3">
      <c r="A391" s="152">
        <v>61.677</v>
      </c>
      <c r="B391" s="152">
        <v>88</v>
      </c>
      <c r="C391" s="152" t="str">
        <f t="shared" si="6"/>
        <v>Middle Spend ($45,000 - $66,000)</v>
      </c>
    </row>
    <row r="392" spans="1:3">
      <c r="A392" s="152">
        <v>29.225000000000001</v>
      </c>
      <c r="B392" s="152">
        <v>13</v>
      </c>
      <c r="C392" s="152" t="str">
        <f t="shared" si="6"/>
        <v>Lower-Middle Spend ($23,000 - $44,000)</v>
      </c>
    </row>
    <row r="393" spans="1:3">
      <c r="A393" s="152">
        <v>53.48</v>
      </c>
      <c r="B393" s="152">
        <v>43</v>
      </c>
      <c r="C393" s="152" t="str">
        <f t="shared" si="6"/>
        <v>Middle Spend ($45,000 - $66,000)</v>
      </c>
    </row>
    <row r="394" spans="1:3">
      <c r="A394" s="152">
        <v>36.409999999999997</v>
      </c>
      <c r="B394" s="152">
        <v>65</v>
      </c>
      <c r="C394" s="152" t="str">
        <f t="shared" si="6"/>
        <v>Lower-Middle Spend ($23,000 - $44,000)</v>
      </c>
    </row>
    <row r="395" spans="1:3">
      <c r="A395" s="152">
        <v>33.863</v>
      </c>
      <c r="B395" s="152">
        <v>35</v>
      </c>
      <c r="C395" s="152" t="str">
        <f t="shared" si="6"/>
        <v>Lower-Middle Spend ($23,000 - $44,000)</v>
      </c>
    </row>
    <row r="396" spans="1:3">
      <c r="A396" s="152">
        <v>93.712999999999994</v>
      </c>
      <c r="B396" s="152">
        <v>17</v>
      </c>
      <c r="C396" s="152" t="str">
        <f t="shared" si="6"/>
        <v>High Spend ($89,000 - $132,000)</v>
      </c>
    </row>
    <row r="397" spans="1:3">
      <c r="A397" s="152">
        <v>47.353000000000002</v>
      </c>
      <c r="B397" s="152">
        <v>88</v>
      </c>
      <c r="C397" s="152" t="str">
        <f t="shared" si="6"/>
        <v>Middle Spend ($45,000 - $66,000)</v>
      </c>
    </row>
    <row r="398" spans="1:3">
      <c r="A398" s="152">
        <v>19.672999999999998</v>
      </c>
      <c r="B398" s="152">
        <v>11</v>
      </c>
      <c r="C398" s="152" t="str">
        <f t="shared" si="6"/>
        <v>Low Spend (&lt;$22,000)</v>
      </c>
    </row>
    <row r="399" spans="1:3">
      <c r="A399" s="152">
        <v>123.724</v>
      </c>
      <c r="B399" s="152">
        <v>104</v>
      </c>
      <c r="C399" s="152" t="str">
        <f t="shared" si="6"/>
        <v>High Spend ($89,000 - $132,000)</v>
      </c>
    </row>
    <row r="400" spans="1:3">
      <c r="A400" s="152">
        <v>12.815</v>
      </c>
      <c r="B400" s="152">
        <v>26</v>
      </c>
      <c r="C400" s="152" t="str">
        <f t="shared" si="6"/>
        <v>Low Spend (&lt;$22,000)</v>
      </c>
    </row>
    <row r="401" spans="1:3">
      <c r="A401" s="152">
        <v>22.757000000000001</v>
      </c>
      <c r="B401" s="152">
        <v>84</v>
      </c>
      <c r="C401" s="152" t="str">
        <f t="shared" si="6"/>
        <v>Lower-Middle Spend ($23,000 - $44,000)</v>
      </c>
    </row>
  </sheetData>
  <mergeCells count="7">
    <mergeCell ref="E1:K1"/>
    <mergeCell ref="F24:J24"/>
    <mergeCell ref="D2:E4"/>
    <mergeCell ref="G43:H43"/>
    <mergeCell ref="G85:H85"/>
    <mergeCell ref="G5:I5"/>
    <mergeCell ref="G37:H37"/>
  </mergeCells>
  <pageMargins left="0.7" right="0.7" top="0.75" bottom="0.75" header="0.3" footer="0.3"/>
  <drawing r:id="rId2"/>
  <tableParts count="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EBF6-C17A-AE4D-A82D-25FAD9DA35DA}">
  <dimension ref="A1:H401"/>
  <sheetViews>
    <sheetView zoomScale="68" zoomScaleNormal="90" workbookViewId="0">
      <selection activeCell="E23" sqref="E23"/>
    </sheetView>
  </sheetViews>
  <sheetFormatPr baseColWidth="10" defaultRowHeight="15"/>
  <cols>
    <col min="1" max="1" width="17" customWidth="1"/>
    <col min="2" max="2" width="12.33203125" customWidth="1"/>
    <col min="3" max="3" width="32.1640625" customWidth="1"/>
    <col min="4" max="4" width="54.33203125" bestFit="1" customWidth="1"/>
    <col min="5" max="5" width="49.5" bestFit="1" customWidth="1"/>
    <col min="6" max="6" width="22.1640625" customWidth="1"/>
    <col min="7" max="7" width="24" bestFit="1" customWidth="1"/>
    <col min="8" max="8" width="19.83203125" bestFit="1" customWidth="1"/>
    <col min="9" max="9" width="21.33203125" bestFit="1" customWidth="1"/>
    <col min="10" max="10" width="53" customWidth="1"/>
    <col min="11" max="11" width="48.33203125" customWidth="1"/>
    <col min="12" max="12" width="29.83203125" bestFit="1" customWidth="1"/>
  </cols>
  <sheetData>
    <row r="1" spans="1:8" ht="15" customHeight="1">
      <c r="A1" s="2" t="s">
        <v>2</v>
      </c>
      <c r="B1" s="2" t="s">
        <v>7</v>
      </c>
      <c r="C1" s="182" t="s">
        <v>657</v>
      </c>
      <c r="D1" s="182"/>
      <c r="E1" s="182"/>
      <c r="F1" s="182"/>
      <c r="G1" s="182"/>
      <c r="H1" s="182"/>
    </row>
    <row r="2" spans="1:8">
      <c r="A2" t="s">
        <v>413</v>
      </c>
      <c r="B2" t="s">
        <v>432</v>
      </c>
      <c r="C2" s="182"/>
      <c r="D2" s="182"/>
      <c r="E2" s="182"/>
      <c r="F2" s="182"/>
      <c r="G2" s="182"/>
      <c r="H2" s="182"/>
    </row>
    <row r="3" spans="1:8">
      <c r="A3" t="s">
        <v>413</v>
      </c>
      <c r="B3" t="s">
        <v>432</v>
      </c>
    </row>
    <row r="4" spans="1:8">
      <c r="A4" t="s">
        <v>413</v>
      </c>
      <c r="B4" t="s">
        <v>432</v>
      </c>
    </row>
    <row r="5" spans="1:8">
      <c r="A5" t="s">
        <v>414</v>
      </c>
      <c r="B5" t="s">
        <v>432</v>
      </c>
    </row>
    <row r="6" spans="1:8">
      <c r="A6" t="s">
        <v>415</v>
      </c>
      <c r="B6" t="s">
        <v>433</v>
      </c>
    </row>
    <row r="7" spans="1:8" ht="21">
      <c r="A7" t="s">
        <v>413</v>
      </c>
      <c r="B7" t="s">
        <v>432</v>
      </c>
      <c r="D7" s="183" t="s">
        <v>584</v>
      </c>
      <c r="E7" s="183"/>
      <c r="F7" s="183"/>
      <c r="G7" s="183"/>
    </row>
    <row r="8" spans="1:8" ht="21">
      <c r="A8" t="s">
        <v>413</v>
      </c>
      <c r="B8" t="s">
        <v>433</v>
      </c>
      <c r="D8" s="183" t="s">
        <v>583</v>
      </c>
      <c r="E8" s="183"/>
      <c r="F8" s="183"/>
      <c r="G8" s="183"/>
    </row>
    <row r="9" spans="1:8" ht="19">
      <c r="A9" t="s">
        <v>414</v>
      </c>
      <c r="B9" t="s">
        <v>433</v>
      </c>
      <c r="D9" s="170" t="s">
        <v>575</v>
      </c>
      <c r="E9" s="170" t="s">
        <v>576</v>
      </c>
      <c r="F9" s="170"/>
      <c r="G9" s="170"/>
    </row>
    <row r="10" spans="1:8" ht="19">
      <c r="A10" t="s">
        <v>414</v>
      </c>
      <c r="B10" t="s">
        <v>433</v>
      </c>
      <c r="D10" s="164" t="s">
        <v>571</v>
      </c>
      <c r="E10" s="147" t="s">
        <v>572</v>
      </c>
      <c r="F10" s="147" t="s">
        <v>573</v>
      </c>
      <c r="G10" s="147" t="s">
        <v>574</v>
      </c>
    </row>
    <row r="11" spans="1:8" ht="19">
      <c r="A11" t="s">
        <v>414</v>
      </c>
      <c r="B11" t="s">
        <v>432</v>
      </c>
      <c r="D11" s="171" t="s">
        <v>413</v>
      </c>
      <c r="E11" s="172">
        <v>91</v>
      </c>
      <c r="F11" s="172">
        <v>99</v>
      </c>
      <c r="G11" s="172">
        <v>190</v>
      </c>
    </row>
    <row r="12" spans="1:8" ht="19">
      <c r="A12" t="s">
        <v>414</v>
      </c>
      <c r="B12" t="s">
        <v>433</v>
      </c>
      <c r="D12" s="165" t="s">
        <v>414</v>
      </c>
      <c r="E12" s="166">
        <v>69</v>
      </c>
      <c r="F12" s="166">
        <v>127</v>
      </c>
      <c r="G12" s="166">
        <v>196</v>
      </c>
    </row>
    <row r="13" spans="1:8" ht="19">
      <c r="A13" t="s">
        <v>414</v>
      </c>
      <c r="B13" t="s">
        <v>432</v>
      </c>
      <c r="D13" s="165" t="s">
        <v>415</v>
      </c>
      <c r="E13" s="166">
        <v>5</v>
      </c>
      <c r="F13" s="166">
        <v>9</v>
      </c>
      <c r="G13" s="166">
        <v>14</v>
      </c>
    </row>
    <row r="14" spans="1:8" ht="19">
      <c r="A14" t="s">
        <v>413</v>
      </c>
      <c r="B14" t="s">
        <v>432</v>
      </c>
      <c r="D14" s="171" t="s">
        <v>574</v>
      </c>
      <c r="E14" s="172">
        <v>165</v>
      </c>
      <c r="F14" s="172">
        <v>235</v>
      </c>
      <c r="G14" s="172">
        <v>400</v>
      </c>
    </row>
    <row r="15" spans="1:8" ht="15" customHeight="1">
      <c r="A15" t="s">
        <v>414</v>
      </c>
      <c r="B15" t="s">
        <v>433</v>
      </c>
    </row>
    <row r="16" spans="1:8" ht="15" customHeight="1">
      <c r="A16" t="s">
        <v>413</v>
      </c>
      <c r="B16" t="s">
        <v>433</v>
      </c>
    </row>
    <row r="17" spans="1:7">
      <c r="A17" t="s">
        <v>414</v>
      </c>
      <c r="B17" t="s">
        <v>433</v>
      </c>
    </row>
    <row r="18" spans="1:7" ht="26">
      <c r="A18" t="s">
        <v>414</v>
      </c>
      <c r="B18" t="s">
        <v>432</v>
      </c>
      <c r="D18" s="185" t="s">
        <v>585</v>
      </c>
      <c r="E18" s="185"/>
      <c r="F18" s="185"/>
      <c r="G18" s="185"/>
    </row>
    <row r="19" spans="1:7" ht="26" customHeight="1">
      <c r="A19" t="s">
        <v>413</v>
      </c>
      <c r="B19" t="s">
        <v>432</v>
      </c>
      <c r="D19" s="182" t="s">
        <v>655</v>
      </c>
      <c r="E19" s="182"/>
      <c r="F19" s="182"/>
      <c r="G19" s="182"/>
    </row>
    <row r="20" spans="1:7" ht="24">
      <c r="A20" t="s">
        <v>413</v>
      </c>
      <c r="B20" t="s">
        <v>432</v>
      </c>
      <c r="D20" s="186" t="s">
        <v>577</v>
      </c>
      <c r="E20" s="186"/>
      <c r="F20" s="186"/>
      <c r="G20" s="186"/>
    </row>
    <row r="21" spans="1:7" ht="19">
      <c r="A21" t="s">
        <v>413</v>
      </c>
      <c r="B21" t="s">
        <v>432</v>
      </c>
      <c r="D21" s="175" t="s">
        <v>571</v>
      </c>
      <c r="E21" s="175" t="s">
        <v>572</v>
      </c>
      <c r="F21" s="175" t="s">
        <v>573</v>
      </c>
      <c r="G21" s="175" t="s">
        <v>574</v>
      </c>
    </row>
    <row r="22" spans="1:7" ht="19">
      <c r="A22" t="s">
        <v>414</v>
      </c>
      <c r="B22" t="s">
        <v>432</v>
      </c>
      <c r="D22" s="173" t="s">
        <v>413</v>
      </c>
      <c r="E22" s="178">
        <f>91/400</f>
        <v>0.22750000000000001</v>
      </c>
      <c r="F22" s="178">
        <f>99/GETPIVOTDATA("Loyalty",$D$9)</f>
        <v>0.2475</v>
      </c>
      <c r="G22" s="178">
        <f>190/GETPIVOTDATA("Loyalty",$D$9)</f>
        <v>0.47499999999999998</v>
      </c>
    </row>
    <row r="23" spans="1:7" ht="19">
      <c r="A23" t="s">
        <v>414</v>
      </c>
      <c r="B23" t="s">
        <v>432</v>
      </c>
      <c r="D23" s="176" t="s">
        <v>414</v>
      </c>
      <c r="E23" s="179">
        <f>69/400</f>
        <v>0.17249999999999999</v>
      </c>
      <c r="F23" s="179">
        <f>127/GETPIVOTDATA("Loyalty",$D$9)</f>
        <v>0.3175</v>
      </c>
      <c r="G23" s="179">
        <f>196/GETPIVOTDATA("Loyalty",$D$9)</f>
        <v>0.49</v>
      </c>
    </row>
    <row r="24" spans="1:7" ht="19">
      <c r="A24" t="s">
        <v>414</v>
      </c>
      <c r="B24" t="s">
        <v>433</v>
      </c>
      <c r="D24" s="176" t="s">
        <v>415</v>
      </c>
      <c r="E24" s="179">
        <f>5/GETPIVOTDATA("Loyalty",$D$9)</f>
        <v>1.2500000000000001E-2</v>
      </c>
      <c r="F24" s="179">
        <f>9/GETPIVOTDATA("Loyalty",$D$9)</f>
        <v>2.2499999999999999E-2</v>
      </c>
      <c r="G24" s="179">
        <f>14/GETPIVOTDATA("Loyalty",$D$9)</f>
        <v>3.5000000000000003E-2</v>
      </c>
    </row>
    <row r="25" spans="1:7" ht="19">
      <c r="A25" t="s">
        <v>413</v>
      </c>
      <c r="B25" t="s">
        <v>433</v>
      </c>
      <c r="D25" s="174" t="s">
        <v>574</v>
      </c>
      <c r="E25" s="180">
        <f>165/GETPIVOTDATA("Loyalty",$D$9)</f>
        <v>0.41249999999999998</v>
      </c>
      <c r="F25" s="181">
        <f>235/GETPIVOTDATA("Loyalty",$D$9)</f>
        <v>0.58750000000000002</v>
      </c>
      <c r="G25" s="181">
        <f>400/GETPIVOTDATA("Loyalty",$D$9)</f>
        <v>1</v>
      </c>
    </row>
    <row r="26" spans="1:7">
      <c r="A26" t="s">
        <v>414</v>
      </c>
      <c r="B26" t="s">
        <v>432</v>
      </c>
    </row>
    <row r="27" spans="1:7" ht="26">
      <c r="A27" t="s">
        <v>413</v>
      </c>
      <c r="B27" t="s">
        <v>433</v>
      </c>
      <c r="D27" s="184" t="s">
        <v>578</v>
      </c>
      <c r="E27" s="184"/>
      <c r="F27" s="184"/>
      <c r="G27" s="184"/>
    </row>
    <row r="28" spans="1:7" ht="21">
      <c r="A28" t="s">
        <v>414</v>
      </c>
      <c r="B28" t="s">
        <v>433</v>
      </c>
      <c r="D28" s="182" t="s">
        <v>656</v>
      </c>
      <c r="E28" s="182"/>
      <c r="F28" s="182"/>
      <c r="G28" s="182"/>
    </row>
    <row r="29" spans="1:7" ht="19">
      <c r="A29" t="s">
        <v>413</v>
      </c>
      <c r="B29" t="s">
        <v>433</v>
      </c>
      <c r="D29" s="148" t="s">
        <v>579</v>
      </c>
      <c r="E29" s="148" t="s">
        <v>581</v>
      </c>
      <c r="F29" s="148" t="s">
        <v>582</v>
      </c>
      <c r="G29" s="148" t="s">
        <v>580</v>
      </c>
    </row>
    <row r="30" spans="1:7" ht="19">
      <c r="A30" t="s">
        <v>414</v>
      </c>
      <c r="B30" t="s">
        <v>433</v>
      </c>
      <c r="D30" s="147" t="s">
        <v>413</v>
      </c>
      <c r="E30" s="168">
        <f>91/GETPIVOTDATA("Loyalty",$D$9,"Gender","Female")</f>
        <v>0.47894736842105262</v>
      </c>
      <c r="F30" s="168">
        <f>99/GETPIVOTDATA("Loyalty",$D$9,"Gender","Female")</f>
        <v>0.52105263157894732</v>
      </c>
      <c r="G30" s="169">
        <f>E30+F30</f>
        <v>1</v>
      </c>
    </row>
    <row r="31" spans="1:7" ht="19">
      <c r="A31" t="s">
        <v>413</v>
      </c>
      <c r="B31" t="s">
        <v>433</v>
      </c>
      <c r="D31" s="147" t="s">
        <v>414</v>
      </c>
      <c r="E31" s="168">
        <f>69/GETPIVOTDATA("Loyalty",$D$9,"Gender","Male")</f>
        <v>0.35204081632653061</v>
      </c>
      <c r="F31" s="168">
        <f>127/GETPIVOTDATA("Loyalty",$D$9,"Gender","Male")</f>
        <v>0.64795918367346939</v>
      </c>
      <c r="G31" s="169">
        <f>E31+F31</f>
        <v>1</v>
      </c>
    </row>
    <row r="32" spans="1:7" ht="19">
      <c r="A32" t="s">
        <v>414</v>
      </c>
      <c r="B32" t="s">
        <v>433</v>
      </c>
      <c r="D32" s="147" t="s">
        <v>415</v>
      </c>
      <c r="E32" s="168">
        <f>5/GETPIVOTDATA("Loyalty",$D$9,"Gender","Other")</f>
        <v>0.35714285714285715</v>
      </c>
      <c r="F32" s="168">
        <f>9/GETPIVOTDATA("Loyalty",$D$9,"Gender","Other")</f>
        <v>0.6428571428571429</v>
      </c>
      <c r="G32" s="169">
        <f>E32+F32</f>
        <v>1</v>
      </c>
    </row>
    <row r="33" spans="1:2">
      <c r="A33" t="s">
        <v>413</v>
      </c>
      <c r="B33" t="s">
        <v>432</v>
      </c>
    </row>
    <row r="34" spans="1:2">
      <c r="A34" t="s">
        <v>413</v>
      </c>
      <c r="B34" t="s">
        <v>432</v>
      </c>
    </row>
    <row r="35" spans="1:2">
      <c r="A35" t="s">
        <v>413</v>
      </c>
      <c r="B35" t="s">
        <v>432</v>
      </c>
    </row>
    <row r="36" spans="1:2">
      <c r="A36" t="s">
        <v>413</v>
      </c>
      <c r="B36" t="s">
        <v>432</v>
      </c>
    </row>
    <row r="37" spans="1:2">
      <c r="A37" t="s">
        <v>413</v>
      </c>
      <c r="B37" t="s">
        <v>432</v>
      </c>
    </row>
    <row r="38" spans="1:2">
      <c r="A38" t="s">
        <v>414</v>
      </c>
      <c r="B38" t="s">
        <v>433</v>
      </c>
    </row>
    <row r="39" spans="1:2">
      <c r="A39" t="s">
        <v>413</v>
      </c>
      <c r="B39" t="s">
        <v>432</v>
      </c>
    </row>
    <row r="40" spans="1:2">
      <c r="A40" t="s">
        <v>414</v>
      </c>
      <c r="B40" t="s">
        <v>433</v>
      </c>
    </row>
    <row r="41" spans="1:2">
      <c r="A41" t="s">
        <v>414</v>
      </c>
      <c r="B41" t="s">
        <v>432</v>
      </c>
    </row>
    <row r="42" spans="1:2">
      <c r="A42" t="s">
        <v>415</v>
      </c>
      <c r="B42" t="s">
        <v>432</v>
      </c>
    </row>
    <row r="43" spans="1:2">
      <c r="A43" t="s">
        <v>414</v>
      </c>
      <c r="B43" t="s">
        <v>432</v>
      </c>
    </row>
    <row r="44" spans="1:2">
      <c r="A44" t="s">
        <v>414</v>
      </c>
      <c r="B44" t="s">
        <v>432</v>
      </c>
    </row>
    <row r="45" spans="1:2">
      <c r="A45" t="s">
        <v>413</v>
      </c>
      <c r="B45" t="s">
        <v>433</v>
      </c>
    </row>
    <row r="46" spans="1:2">
      <c r="A46" t="s">
        <v>413</v>
      </c>
      <c r="B46" t="s">
        <v>433</v>
      </c>
    </row>
    <row r="47" spans="1:2">
      <c r="A47" t="s">
        <v>414</v>
      </c>
      <c r="B47" t="s">
        <v>432</v>
      </c>
    </row>
    <row r="48" spans="1:2">
      <c r="A48" t="s">
        <v>413</v>
      </c>
      <c r="B48" t="s">
        <v>432</v>
      </c>
    </row>
    <row r="49" spans="1:2">
      <c r="A49" t="s">
        <v>414</v>
      </c>
      <c r="B49" t="s">
        <v>432</v>
      </c>
    </row>
    <row r="50" spans="1:2">
      <c r="A50" t="s">
        <v>414</v>
      </c>
      <c r="B50" t="s">
        <v>432</v>
      </c>
    </row>
    <row r="51" spans="1:2">
      <c r="A51" t="s">
        <v>414</v>
      </c>
      <c r="B51" t="s">
        <v>432</v>
      </c>
    </row>
    <row r="52" spans="1:2">
      <c r="A52" t="s">
        <v>414</v>
      </c>
      <c r="B52" t="s">
        <v>433</v>
      </c>
    </row>
    <row r="53" spans="1:2">
      <c r="A53" t="s">
        <v>414</v>
      </c>
      <c r="B53" t="s">
        <v>433</v>
      </c>
    </row>
    <row r="54" spans="1:2">
      <c r="A54" t="s">
        <v>413</v>
      </c>
      <c r="B54" t="s">
        <v>433</v>
      </c>
    </row>
    <row r="55" spans="1:2" ht="15" customHeight="1">
      <c r="A55" t="s">
        <v>413</v>
      </c>
      <c r="B55" t="s">
        <v>432</v>
      </c>
    </row>
    <row r="56" spans="1:2" ht="15" customHeight="1">
      <c r="A56" t="s">
        <v>413</v>
      </c>
      <c r="B56" t="s">
        <v>433</v>
      </c>
    </row>
    <row r="57" spans="1:2">
      <c r="A57" t="s">
        <v>413</v>
      </c>
      <c r="B57" t="s">
        <v>433</v>
      </c>
    </row>
    <row r="58" spans="1:2">
      <c r="A58" t="s">
        <v>413</v>
      </c>
      <c r="B58" t="s">
        <v>433</v>
      </c>
    </row>
    <row r="59" spans="1:2">
      <c r="A59" t="s">
        <v>413</v>
      </c>
      <c r="B59" t="s">
        <v>432</v>
      </c>
    </row>
    <row r="60" spans="1:2">
      <c r="A60" t="s">
        <v>413</v>
      </c>
      <c r="B60" t="s">
        <v>433</v>
      </c>
    </row>
    <row r="61" spans="1:2">
      <c r="A61" t="s">
        <v>414</v>
      </c>
      <c r="B61" t="s">
        <v>432</v>
      </c>
    </row>
    <row r="62" spans="1:2">
      <c r="A62" t="s">
        <v>414</v>
      </c>
      <c r="B62" t="s">
        <v>433</v>
      </c>
    </row>
    <row r="63" spans="1:2">
      <c r="A63" t="s">
        <v>414</v>
      </c>
      <c r="B63" t="s">
        <v>433</v>
      </c>
    </row>
    <row r="64" spans="1:2" ht="15" customHeight="1">
      <c r="A64" t="s">
        <v>414</v>
      </c>
      <c r="B64" t="s">
        <v>432</v>
      </c>
    </row>
    <row r="65" spans="1:2" ht="15" customHeight="1">
      <c r="A65" t="s">
        <v>414</v>
      </c>
      <c r="B65" t="s">
        <v>432</v>
      </c>
    </row>
    <row r="66" spans="1:2">
      <c r="A66" t="s">
        <v>413</v>
      </c>
      <c r="B66" t="s">
        <v>433</v>
      </c>
    </row>
    <row r="67" spans="1:2">
      <c r="A67" t="s">
        <v>413</v>
      </c>
      <c r="B67" t="s">
        <v>433</v>
      </c>
    </row>
    <row r="68" spans="1:2">
      <c r="A68" t="s">
        <v>413</v>
      </c>
      <c r="B68" t="s">
        <v>432</v>
      </c>
    </row>
    <row r="69" spans="1:2">
      <c r="A69" t="s">
        <v>413</v>
      </c>
      <c r="B69" t="s">
        <v>432</v>
      </c>
    </row>
    <row r="70" spans="1:2">
      <c r="A70" t="s">
        <v>414</v>
      </c>
      <c r="B70" t="s">
        <v>432</v>
      </c>
    </row>
    <row r="71" spans="1:2">
      <c r="A71" t="s">
        <v>414</v>
      </c>
      <c r="B71" t="s">
        <v>433</v>
      </c>
    </row>
    <row r="72" spans="1:2">
      <c r="A72" t="s">
        <v>414</v>
      </c>
      <c r="B72" t="s">
        <v>432</v>
      </c>
    </row>
    <row r="73" spans="1:2">
      <c r="A73" t="s">
        <v>414</v>
      </c>
      <c r="B73" t="s">
        <v>432</v>
      </c>
    </row>
    <row r="74" spans="1:2">
      <c r="A74" t="s">
        <v>413</v>
      </c>
      <c r="B74" t="s">
        <v>433</v>
      </c>
    </row>
    <row r="75" spans="1:2">
      <c r="A75" t="s">
        <v>413</v>
      </c>
      <c r="B75" t="s">
        <v>432</v>
      </c>
    </row>
    <row r="76" spans="1:2">
      <c r="A76" t="s">
        <v>414</v>
      </c>
      <c r="B76" t="s">
        <v>432</v>
      </c>
    </row>
    <row r="77" spans="1:2">
      <c r="A77" t="s">
        <v>414</v>
      </c>
      <c r="B77" t="s">
        <v>432</v>
      </c>
    </row>
    <row r="78" spans="1:2">
      <c r="A78" t="s">
        <v>415</v>
      </c>
      <c r="B78" t="s">
        <v>433</v>
      </c>
    </row>
    <row r="79" spans="1:2">
      <c r="A79" t="s">
        <v>414</v>
      </c>
      <c r="B79" t="s">
        <v>433</v>
      </c>
    </row>
    <row r="80" spans="1:2">
      <c r="A80" t="s">
        <v>413</v>
      </c>
      <c r="B80" t="s">
        <v>432</v>
      </c>
    </row>
    <row r="81" spans="1:2">
      <c r="A81" t="s">
        <v>415</v>
      </c>
      <c r="B81" t="s">
        <v>433</v>
      </c>
    </row>
    <row r="82" spans="1:2">
      <c r="A82" t="s">
        <v>414</v>
      </c>
      <c r="B82" t="s">
        <v>433</v>
      </c>
    </row>
    <row r="83" spans="1:2">
      <c r="A83" t="s">
        <v>414</v>
      </c>
      <c r="B83" t="s">
        <v>433</v>
      </c>
    </row>
    <row r="84" spans="1:2">
      <c r="A84" t="s">
        <v>413</v>
      </c>
      <c r="B84" t="s">
        <v>432</v>
      </c>
    </row>
    <row r="85" spans="1:2">
      <c r="A85" t="s">
        <v>413</v>
      </c>
      <c r="B85" t="s">
        <v>433</v>
      </c>
    </row>
    <row r="86" spans="1:2">
      <c r="A86" t="s">
        <v>414</v>
      </c>
      <c r="B86" t="s">
        <v>433</v>
      </c>
    </row>
    <row r="87" spans="1:2">
      <c r="A87" t="s">
        <v>413</v>
      </c>
      <c r="B87" t="s">
        <v>433</v>
      </c>
    </row>
    <row r="88" spans="1:2">
      <c r="A88" t="s">
        <v>413</v>
      </c>
      <c r="B88" t="s">
        <v>433</v>
      </c>
    </row>
    <row r="89" spans="1:2">
      <c r="A89" t="s">
        <v>414</v>
      </c>
      <c r="B89" t="s">
        <v>433</v>
      </c>
    </row>
    <row r="90" spans="1:2">
      <c r="A90" t="s">
        <v>414</v>
      </c>
      <c r="B90" t="s">
        <v>432</v>
      </c>
    </row>
    <row r="91" spans="1:2">
      <c r="A91" t="s">
        <v>414</v>
      </c>
      <c r="B91" t="s">
        <v>433</v>
      </c>
    </row>
    <row r="92" spans="1:2">
      <c r="A92" t="s">
        <v>413</v>
      </c>
      <c r="B92" t="s">
        <v>433</v>
      </c>
    </row>
    <row r="93" spans="1:2">
      <c r="A93" t="s">
        <v>413</v>
      </c>
      <c r="B93" t="s">
        <v>433</v>
      </c>
    </row>
    <row r="94" spans="1:2">
      <c r="A94" t="s">
        <v>413</v>
      </c>
      <c r="B94" t="s">
        <v>433</v>
      </c>
    </row>
    <row r="95" spans="1:2">
      <c r="A95" t="s">
        <v>413</v>
      </c>
      <c r="B95" t="s">
        <v>433</v>
      </c>
    </row>
    <row r="96" spans="1:2">
      <c r="A96" t="s">
        <v>413</v>
      </c>
      <c r="B96" t="s">
        <v>433</v>
      </c>
    </row>
    <row r="97" spans="1:2">
      <c r="A97" t="s">
        <v>414</v>
      </c>
      <c r="B97" t="s">
        <v>432</v>
      </c>
    </row>
    <row r="98" spans="1:2">
      <c r="A98" t="s">
        <v>414</v>
      </c>
      <c r="B98" t="s">
        <v>432</v>
      </c>
    </row>
    <row r="99" spans="1:2">
      <c r="A99" t="s">
        <v>414</v>
      </c>
      <c r="B99" t="s">
        <v>432</v>
      </c>
    </row>
    <row r="100" spans="1:2">
      <c r="A100" t="s">
        <v>414</v>
      </c>
      <c r="B100" t="s">
        <v>433</v>
      </c>
    </row>
    <row r="101" spans="1:2" ht="15" customHeight="1">
      <c r="A101" t="s">
        <v>413</v>
      </c>
      <c r="B101" t="s">
        <v>433</v>
      </c>
    </row>
    <row r="102" spans="1:2">
      <c r="A102" t="s">
        <v>414</v>
      </c>
      <c r="B102" t="s">
        <v>433</v>
      </c>
    </row>
    <row r="103" spans="1:2">
      <c r="A103" t="s">
        <v>414</v>
      </c>
      <c r="B103" t="s">
        <v>432</v>
      </c>
    </row>
    <row r="104" spans="1:2">
      <c r="A104" t="s">
        <v>413</v>
      </c>
      <c r="B104" t="s">
        <v>432</v>
      </c>
    </row>
    <row r="105" spans="1:2">
      <c r="A105" t="s">
        <v>414</v>
      </c>
      <c r="B105" t="s">
        <v>432</v>
      </c>
    </row>
    <row r="106" spans="1:2">
      <c r="A106" t="s">
        <v>413</v>
      </c>
      <c r="B106" t="s">
        <v>432</v>
      </c>
    </row>
    <row r="107" spans="1:2">
      <c r="A107" t="s">
        <v>414</v>
      </c>
      <c r="B107" t="s">
        <v>433</v>
      </c>
    </row>
    <row r="108" spans="1:2">
      <c r="A108" t="s">
        <v>414</v>
      </c>
      <c r="B108" t="s">
        <v>432</v>
      </c>
    </row>
    <row r="109" spans="1:2">
      <c r="A109" t="s">
        <v>413</v>
      </c>
      <c r="B109" t="s">
        <v>432</v>
      </c>
    </row>
    <row r="110" spans="1:2">
      <c r="A110" t="s">
        <v>413</v>
      </c>
      <c r="B110" t="s">
        <v>433</v>
      </c>
    </row>
    <row r="111" spans="1:2">
      <c r="A111" t="s">
        <v>414</v>
      </c>
      <c r="B111" t="s">
        <v>432</v>
      </c>
    </row>
    <row r="112" spans="1:2">
      <c r="A112" t="s">
        <v>414</v>
      </c>
      <c r="B112" t="s">
        <v>432</v>
      </c>
    </row>
    <row r="113" spans="1:2">
      <c r="A113" t="s">
        <v>414</v>
      </c>
      <c r="B113" t="s">
        <v>433</v>
      </c>
    </row>
    <row r="114" spans="1:2">
      <c r="A114" t="s">
        <v>414</v>
      </c>
      <c r="B114" t="s">
        <v>432</v>
      </c>
    </row>
    <row r="115" spans="1:2">
      <c r="A115" t="s">
        <v>414</v>
      </c>
      <c r="B115" t="s">
        <v>432</v>
      </c>
    </row>
    <row r="116" spans="1:2">
      <c r="A116" t="s">
        <v>413</v>
      </c>
      <c r="B116" t="s">
        <v>432</v>
      </c>
    </row>
    <row r="117" spans="1:2">
      <c r="A117" t="s">
        <v>413</v>
      </c>
      <c r="B117" t="s">
        <v>432</v>
      </c>
    </row>
    <row r="118" spans="1:2">
      <c r="A118" t="s">
        <v>414</v>
      </c>
      <c r="B118" t="s">
        <v>433</v>
      </c>
    </row>
    <row r="119" spans="1:2">
      <c r="A119" t="s">
        <v>414</v>
      </c>
      <c r="B119" t="s">
        <v>433</v>
      </c>
    </row>
    <row r="120" spans="1:2">
      <c r="A120" t="s">
        <v>415</v>
      </c>
      <c r="B120" t="s">
        <v>433</v>
      </c>
    </row>
    <row r="121" spans="1:2">
      <c r="A121" t="s">
        <v>414</v>
      </c>
      <c r="B121" t="s">
        <v>432</v>
      </c>
    </row>
    <row r="122" spans="1:2">
      <c r="A122" t="s">
        <v>413</v>
      </c>
      <c r="B122" t="s">
        <v>433</v>
      </c>
    </row>
    <row r="123" spans="1:2">
      <c r="A123" t="s">
        <v>414</v>
      </c>
      <c r="B123" t="s">
        <v>432</v>
      </c>
    </row>
    <row r="124" spans="1:2">
      <c r="A124" t="s">
        <v>414</v>
      </c>
      <c r="B124" t="s">
        <v>432</v>
      </c>
    </row>
    <row r="125" spans="1:2">
      <c r="A125" t="s">
        <v>414</v>
      </c>
      <c r="B125" t="s">
        <v>433</v>
      </c>
    </row>
    <row r="126" spans="1:2">
      <c r="A126" t="s">
        <v>414</v>
      </c>
      <c r="B126" t="s">
        <v>432</v>
      </c>
    </row>
    <row r="127" spans="1:2">
      <c r="A127" t="s">
        <v>413</v>
      </c>
      <c r="B127" t="s">
        <v>432</v>
      </c>
    </row>
    <row r="128" spans="1:2">
      <c r="A128" t="s">
        <v>413</v>
      </c>
      <c r="B128" t="s">
        <v>433</v>
      </c>
    </row>
    <row r="129" spans="1:2">
      <c r="A129" t="s">
        <v>414</v>
      </c>
      <c r="B129" t="s">
        <v>432</v>
      </c>
    </row>
    <row r="130" spans="1:2">
      <c r="A130" t="s">
        <v>413</v>
      </c>
      <c r="B130" t="s">
        <v>432</v>
      </c>
    </row>
    <row r="131" spans="1:2">
      <c r="A131" t="s">
        <v>414</v>
      </c>
      <c r="B131" t="s">
        <v>433</v>
      </c>
    </row>
    <row r="132" spans="1:2">
      <c r="A132" t="s">
        <v>415</v>
      </c>
      <c r="B132" t="s">
        <v>432</v>
      </c>
    </row>
    <row r="133" spans="1:2">
      <c r="A133" t="s">
        <v>414</v>
      </c>
      <c r="B133" t="s">
        <v>432</v>
      </c>
    </row>
    <row r="134" spans="1:2">
      <c r="A134" t="s">
        <v>413</v>
      </c>
      <c r="B134" t="s">
        <v>433</v>
      </c>
    </row>
    <row r="135" spans="1:2">
      <c r="A135" t="s">
        <v>413</v>
      </c>
      <c r="B135" t="s">
        <v>433</v>
      </c>
    </row>
    <row r="136" spans="1:2">
      <c r="A136" t="s">
        <v>414</v>
      </c>
      <c r="B136" t="s">
        <v>433</v>
      </c>
    </row>
    <row r="137" spans="1:2">
      <c r="A137" t="s">
        <v>414</v>
      </c>
      <c r="B137" t="s">
        <v>433</v>
      </c>
    </row>
    <row r="138" spans="1:2">
      <c r="A138" t="s">
        <v>413</v>
      </c>
      <c r="B138" t="s">
        <v>432</v>
      </c>
    </row>
    <row r="139" spans="1:2">
      <c r="A139" t="s">
        <v>414</v>
      </c>
      <c r="B139" t="s">
        <v>432</v>
      </c>
    </row>
    <row r="140" spans="1:2">
      <c r="A140" t="s">
        <v>413</v>
      </c>
      <c r="B140" t="s">
        <v>433</v>
      </c>
    </row>
    <row r="141" spans="1:2">
      <c r="A141" t="s">
        <v>414</v>
      </c>
      <c r="B141" t="s">
        <v>432</v>
      </c>
    </row>
    <row r="142" spans="1:2">
      <c r="A142" t="s">
        <v>414</v>
      </c>
      <c r="B142" t="s">
        <v>432</v>
      </c>
    </row>
    <row r="143" spans="1:2">
      <c r="A143" t="s">
        <v>414</v>
      </c>
      <c r="B143" t="s">
        <v>432</v>
      </c>
    </row>
    <row r="144" spans="1:2">
      <c r="A144" t="s">
        <v>414</v>
      </c>
      <c r="B144" t="s">
        <v>433</v>
      </c>
    </row>
    <row r="145" spans="1:2">
      <c r="A145" t="s">
        <v>413</v>
      </c>
      <c r="B145" t="s">
        <v>432</v>
      </c>
    </row>
    <row r="146" spans="1:2">
      <c r="A146" t="s">
        <v>413</v>
      </c>
      <c r="B146" t="s">
        <v>432</v>
      </c>
    </row>
    <row r="147" spans="1:2">
      <c r="A147" t="s">
        <v>413</v>
      </c>
      <c r="B147" t="s">
        <v>432</v>
      </c>
    </row>
    <row r="148" spans="1:2">
      <c r="A148" t="s">
        <v>414</v>
      </c>
      <c r="B148" t="s">
        <v>433</v>
      </c>
    </row>
    <row r="149" spans="1:2">
      <c r="A149" t="s">
        <v>413</v>
      </c>
      <c r="B149" t="s">
        <v>433</v>
      </c>
    </row>
    <row r="150" spans="1:2">
      <c r="A150" t="s">
        <v>414</v>
      </c>
      <c r="B150" t="s">
        <v>433</v>
      </c>
    </row>
    <row r="151" spans="1:2">
      <c r="A151" t="s">
        <v>414</v>
      </c>
      <c r="B151" t="s">
        <v>432</v>
      </c>
    </row>
    <row r="152" spans="1:2">
      <c r="A152" t="s">
        <v>413</v>
      </c>
      <c r="B152" t="s">
        <v>433</v>
      </c>
    </row>
    <row r="153" spans="1:2">
      <c r="A153" t="s">
        <v>413</v>
      </c>
      <c r="B153" t="s">
        <v>433</v>
      </c>
    </row>
    <row r="154" spans="1:2">
      <c r="A154" t="s">
        <v>414</v>
      </c>
      <c r="B154" t="s">
        <v>433</v>
      </c>
    </row>
    <row r="155" spans="1:2">
      <c r="A155" t="s">
        <v>414</v>
      </c>
      <c r="B155" t="s">
        <v>432</v>
      </c>
    </row>
    <row r="156" spans="1:2">
      <c r="A156" t="s">
        <v>414</v>
      </c>
      <c r="B156" t="s">
        <v>433</v>
      </c>
    </row>
    <row r="157" spans="1:2">
      <c r="A157" t="s">
        <v>413</v>
      </c>
      <c r="B157" t="s">
        <v>432</v>
      </c>
    </row>
    <row r="158" spans="1:2">
      <c r="A158" t="s">
        <v>414</v>
      </c>
      <c r="B158" t="s">
        <v>432</v>
      </c>
    </row>
    <row r="159" spans="1:2">
      <c r="A159" t="s">
        <v>414</v>
      </c>
      <c r="B159" t="s">
        <v>432</v>
      </c>
    </row>
    <row r="160" spans="1:2">
      <c r="A160" t="s">
        <v>413</v>
      </c>
      <c r="B160" t="s">
        <v>433</v>
      </c>
    </row>
    <row r="161" spans="1:2">
      <c r="A161" t="s">
        <v>413</v>
      </c>
      <c r="B161" t="s">
        <v>433</v>
      </c>
    </row>
    <row r="162" spans="1:2">
      <c r="A162" t="s">
        <v>413</v>
      </c>
      <c r="B162" t="s">
        <v>433</v>
      </c>
    </row>
    <row r="163" spans="1:2">
      <c r="A163" t="s">
        <v>414</v>
      </c>
      <c r="B163" t="s">
        <v>432</v>
      </c>
    </row>
    <row r="164" spans="1:2">
      <c r="A164" t="s">
        <v>413</v>
      </c>
      <c r="B164" t="s">
        <v>432</v>
      </c>
    </row>
    <row r="165" spans="1:2">
      <c r="A165" t="s">
        <v>414</v>
      </c>
      <c r="B165" t="s">
        <v>433</v>
      </c>
    </row>
    <row r="166" spans="1:2">
      <c r="A166" t="s">
        <v>413</v>
      </c>
      <c r="B166" t="s">
        <v>432</v>
      </c>
    </row>
    <row r="167" spans="1:2">
      <c r="A167" t="s">
        <v>414</v>
      </c>
      <c r="B167" t="s">
        <v>432</v>
      </c>
    </row>
    <row r="168" spans="1:2">
      <c r="A168" t="s">
        <v>414</v>
      </c>
      <c r="B168" t="s">
        <v>432</v>
      </c>
    </row>
    <row r="169" spans="1:2">
      <c r="A169" t="s">
        <v>413</v>
      </c>
      <c r="B169" t="s">
        <v>432</v>
      </c>
    </row>
    <row r="170" spans="1:2">
      <c r="A170" t="s">
        <v>413</v>
      </c>
      <c r="B170" t="s">
        <v>433</v>
      </c>
    </row>
    <row r="171" spans="1:2">
      <c r="A171" t="s">
        <v>414</v>
      </c>
      <c r="B171" t="s">
        <v>433</v>
      </c>
    </row>
    <row r="172" spans="1:2">
      <c r="A172" t="s">
        <v>414</v>
      </c>
      <c r="B172" t="s">
        <v>432</v>
      </c>
    </row>
    <row r="173" spans="1:2">
      <c r="A173" t="s">
        <v>414</v>
      </c>
      <c r="B173" t="s">
        <v>433</v>
      </c>
    </row>
    <row r="174" spans="1:2">
      <c r="A174" t="s">
        <v>413</v>
      </c>
      <c r="B174" t="s">
        <v>432</v>
      </c>
    </row>
    <row r="175" spans="1:2">
      <c r="A175" t="s">
        <v>413</v>
      </c>
      <c r="B175" t="s">
        <v>432</v>
      </c>
    </row>
    <row r="176" spans="1:2">
      <c r="A176" t="s">
        <v>413</v>
      </c>
      <c r="B176" t="s">
        <v>432</v>
      </c>
    </row>
    <row r="177" spans="1:2">
      <c r="A177" t="s">
        <v>414</v>
      </c>
      <c r="B177" t="s">
        <v>432</v>
      </c>
    </row>
    <row r="178" spans="1:2">
      <c r="A178" t="s">
        <v>414</v>
      </c>
      <c r="B178" t="s">
        <v>432</v>
      </c>
    </row>
    <row r="179" spans="1:2">
      <c r="A179" t="s">
        <v>414</v>
      </c>
      <c r="B179" t="s">
        <v>432</v>
      </c>
    </row>
    <row r="180" spans="1:2">
      <c r="A180" t="s">
        <v>414</v>
      </c>
      <c r="B180" t="s">
        <v>432</v>
      </c>
    </row>
    <row r="181" spans="1:2">
      <c r="A181" t="s">
        <v>414</v>
      </c>
      <c r="B181" t="s">
        <v>432</v>
      </c>
    </row>
    <row r="182" spans="1:2">
      <c r="A182" t="s">
        <v>413</v>
      </c>
      <c r="B182" t="s">
        <v>433</v>
      </c>
    </row>
    <row r="183" spans="1:2">
      <c r="A183" t="s">
        <v>414</v>
      </c>
      <c r="B183" t="s">
        <v>432</v>
      </c>
    </row>
    <row r="184" spans="1:2">
      <c r="A184" t="s">
        <v>413</v>
      </c>
      <c r="B184" t="s">
        <v>433</v>
      </c>
    </row>
    <row r="185" spans="1:2">
      <c r="A185" t="s">
        <v>414</v>
      </c>
      <c r="B185" t="s">
        <v>432</v>
      </c>
    </row>
    <row r="186" spans="1:2">
      <c r="A186" t="s">
        <v>413</v>
      </c>
      <c r="B186" t="s">
        <v>432</v>
      </c>
    </row>
    <row r="187" spans="1:2">
      <c r="A187" t="s">
        <v>413</v>
      </c>
      <c r="B187" t="s">
        <v>433</v>
      </c>
    </row>
    <row r="188" spans="1:2">
      <c r="A188" t="s">
        <v>413</v>
      </c>
      <c r="B188" t="s">
        <v>432</v>
      </c>
    </row>
    <row r="189" spans="1:2">
      <c r="A189" t="s">
        <v>414</v>
      </c>
      <c r="B189" t="s">
        <v>433</v>
      </c>
    </row>
    <row r="190" spans="1:2">
      <c r="A190" t="s">
        <v>413</v>
      </c>
      <c r="B190" t="s">
        <v>433</v>
      </c>
    </row>
    <row r="191" spans="1:2">
      <c r="A191" t="s">
        <v>413</v>
      </c>
      <c r="B191" t="s">
        <v>432</v>
      </c>
    </row>
    <row r="192" spans="1:2">
      <c r="A192" t="s">
        <v>413</v>
      </c>
      <c r="B192" t="s">
        <v>432</v>
      </c>
    </row>
    <row r="193" spans="1:2">
      <c r="A193" t="s">
        <v>414</v>
      </c>
      <c r="B193" t="s">
        <v>433</v>
      </c>
    </row>
    <row r="194" spans="1:2">
      <c r="A194" t="s">
        <v>413</v>
      </c>
      <c r="B194" t="s">
        <v>433</v>
      </c>
    </row>
    <row r="195" spans="1:2">
      <c r="A195" t="s">
        <v>414</v>
      </c>
      <c r="B195" t="s">
        <v>432</v>
      </c>
    </row>
    <row r="196" spans="1:2">
      <c r="A196" t="s">
        <v>414</v>
      </c>
      <c r="B196" t="s">
        <v>432</v>
      </c>
    </row>
    <row r="197" spans="1:2">
      <c r="A197" t="s">
        <v>415</v>
      </c>
      <c r="B197" t="s">
        <v>433</v>
      </c>
    </row>
    <row r="198" spans="1:2">
      <c r="A198" t="s">
        <v>413</v>
      </c>
      <c r="B198" t="s">
        <v>433</v>
      </c>
    </row>
    <row r="199" spans="1:2">
      <c r="A199" t="s">
        <v>414</v>
      </c>
      <c r="B199" t="s">
        <v>432</v>
      </c>
    </row>
    <row r="200" spans="1:2">
      <c r="A200" t="s">
        <v>413</v>
      </c>
      <c r="B200" t="s">
        <v>432</v>
      </c>
    </row>
    <row r="201" spans="1:2">
      <c r="A201" t="s">
        <v>413</v>
      </c>
      <c r="B201" t="s">
        <v>432</v>
      </c>
    </row>
    <row r="202" spans="1:2">
      <c r="A202" t="s">
        <v>414</v>
      </c>
      <c r="B202" t="s">
        <v>432</v>
      </c>
    </row>
    <row r="203" spans="1:2">
      <c r="A203" t="s">
        <v>414</v>
      </c>
      <c r="B203" t="s">
        <v>432</v>
      </c>
    </row>
    <row r="204" spans="1:2">
      <c r="A204" t="s">
        <v>414</v>
      </c>
      <c r="B204" t="s">
        <v>432</v>
      </c>
    </row>
    <row r="205" spans="1:2">
      <c r="A205" t="s">
        <v>414</v>
      </c>
      <c r="B205" t="s">
        <v>433</v>
      </c>
    </row>
    <row r="206" spans="1:2">
      <c r="A206" t="s">
        <v>413</v>
      </c>
      <c r="B206" t="s">
        <v>433</v>
      </c>
    </row>
    <row r="207" spans="1:2">
      <c r="A207" t="s">
        <v>413</v>
      </c>
      <c r="B207" t="s">
        <v>433</v>
      </c>
    </row>
    <row r="208" spans="1:2">
      <c r="A208" t="s">
        <v>414</v>
      </c>
      <c r="B208" t="s">
        <v>433</v>
      </c>
    </row>
    <row r="209" spans="1:2">
      <c r="A209" t="s">
        <v>413</v>
      </c>
      <c r="B209" t="s">
        <v>433</v>
      </c>
    </row>
    <row r="210" spans="1:2">
      <c r="A210" t="s">
        <v>414</v>
      </c>
      <c r="B210" t="s">
        <v>433</v>
      </c>
    </row>
    <row r="211" spans="1:2">
      <c r="A211" t="s">
        <v>414</v>
      </c>
      <c r="B211" t="s">
        <v>432</v>
      </c>
    </row>
    <row r="212" spans="1:2">
      <c r="A212" t="s">
        <v>413</v>
      </c>
      <c r="B212" t="s">
        <v>432</v>
      </c>
    </row>
    <row r="213" spans="1:2">
      <c r="A213" t="s">
        <v>414</v>
      </c>
      <c r="B213" t="s">
        <v>433</v>
      </c>
    </row>
    <row r="214" spans="1:2">
      <c r="A214" t="s">
        <v>414</v>
      </c>
      <c r="B214" t="s">
        <v>432</v>
      </c>
    </row>
    <row r="215" spans="1:2">
      <c r="A215" t="s">
        <v>413</v>
      </c>
      <c r="B215" t="s">
        <v>432</v>
      </c>
    </row>
    <row r="216" spans="1:2">
      <c r="A216" t="s">
        <v>414</v>
      </c>
      <c r="B216" t="s">
        <v>432</v>
      </c>
    </row>
    <row r="217" spans="1:2">
      <c r="A217" t="s">
        <v>414</v>
      </c>
      <c r="B217" t="s">
        <v>433</v>
      </c>
    </row>
    <row r="218" spans="1:2">
      <c r="A218" t="s">
        <v>413</v>
      </c>
      <c r="B218" t="s">
        <v>433</v>
      </c>
    </row>
    <row r="219" spans="1:2">
      <c r="A219" t="s">
        <v>414</v>
      </c>
      <c r="B219" t="s">
        <v>433</v>
      </c>
    </row>
    <row r="220" spans="1:2">
      <c r="A220" t="s">
        <v>413</v>
      </c>
      <c r="B220" t="s">
        <v>432</v>
      </c>
    </row>
    <row r="221" spans="1:2">
      <c r="A221" t="s">
        <v>414</v>
      </c>
      <c r="B221" t="s">
        <v>432</v>
      </c>
    </row>
    <row r="222" spans="1:2">
      <c r="A222" t="s">
        <v>413</v>
      </c>
      <c r="B222" t="s">
        <v>433</v>
      </c>
    </row>
    <row r="223" spans="1:2">
      <c r="A223" t="s">
        <v>413</v>
      </c>
      <c r="B223" t="s">
        <v>432</v>
      </c>
    </row>
    <row r="224" spans="1:2">
      <c r="A224" t="s">
        <v>414</v>
      </c>
      <c r="B224" t="s">
        <v>433</v>
      </c>
    </row>
    <row r="225" spans="1:2">
      <c r="A225" t="s">
        <v>413</v>
      </c>
      <c r="B225" t="s">
        <v>433</v>
      </c>
    </row>
    <row r="226" spans="1:2">
      <c r="A226" t="s">
        <v>414</v>
      </c>
      <c r="B226" t="s">
        <v>433</v>
      </c>
    </row>
    <row r="227" spans="1:2">
      <c r="A227" t="s">
        <v>413</v>
      </c>
      <c r="B227" t="s">
        <v>432</v>
      </c>
    </row>
    <row r="228" spans="1:2">
      <c r="A228" t="s">
        <v>414</v>
      </c>
      <c r="B228" t="s">
        <v>433</v>
      </c>
    </row>
    <row r="229" spans="1:2">
      <c r="A229" t="s">
        <v>413</v>
      </c>
      <c r="B229" t="s">
        <v>432</v>
      </c>
    </row>
    <row r="230" spans="1:2">
      <c r="A230" t="s">
        <v>414</v>
      </c>
      <c r="B230" t="s">
        <v>433</v>
      </c>
    </row>
    <row r="231" spans="1:2">
      <c r="A231" t="s">
        <v>413</v>
      </c>
      <c r="B231" t="s">
        <v>433</v>
      </c>
    </row>
    <row r="232" spans="1:2">
      <c r="A232" t="s">
        <v>414</v>
      </c>
      <c r="B232" t="s">
        <v>433</v>
      </c>
    </row>
    <row r="233" spans="1:2">
      <c r="A233" t="s">
        <v>414</v>
      </c>
      <c r="B233" t="s">
        <v>433</v>
      </c>
    </row>
    <row r="234" spans="1:2">
      <c r="A234" t="s">
        <v>413</v>
      </c>
      <c r="B234" t="s">
        <v>432</v>
      </c>
    </row>
    <row r="235" spans="1:2">
      <c r="A235" t="s">
        <v>414</v>
      </c>
      <c r="B235" t="s">
        <v>432</v>
      </c>
    </row>
    <row r="236" spans="1:2">
      <c r="A236" t="s">
        <v>413</v>
      </c>
      <c r="B236" t="s">
        <v>432</v>
      </c>
    </row>
    <row r="237" spans="1:2">
      <c r="A237" t="s">
        <v>414</v>
      </c>
      <c r="B237" t="s">
        <v>432</v>
      </c>
    </row>
    <row r="238" spans="1:2">
      <c r="A238" t="s">
        <v>414</v>
      </c>
      <c r="B238" t="s">
        <v>432</v>
      </c>
    </row>
    <row r="239" spans="1:2">
      <c r="A239" t="s">
        <v>414</v>
      </c>
      <c r="B239" t="s">
        <v>432</v>
      </c>
    </row>
    <row r="240" spans="1:2">
      <c r="A240" t="s">
        <v>413</v>
      </c>
      <c r="B240" t="s">
        <v>433</v>
      </c>
    </row>
    <row r="241" spans="1:2">
      <c r="A241" t="s">
        <v>413</v>
      </c>
      <c r="B241" t="s">
        <v>432</v>
      </c>
    </row>
    <row r="242" spans="1:2">
      <c r="A242" t="s">
        <v>414</v>
      </c>
      <c r="B242" t="s">
        <v>433</v>
      </c>
    </row>
    <row r="243" spans="1:2">
      <c r="A243" t="s">
        <v>414</v>
      </c>
      <c r="B243" t="s">
        <v>432</v>
      </c>
    </row>
    <row r="244" spans="1:2">
      <c r="A244" t="s">
        <v>414</v>
      </c>
      <c r="B244" t="s">
        <v>432</v>
      </c>
    </row>
    <row r="245" spans="1:2">
      <c r="A245" t="s">
        <v>413</v>
      </c>
      <c r="B245" t="s">
        <v>432</v>
      </c>
    </row>
    <row r="246" spans="1:2">
      <c r="A246" t="s">
        <v>414</v>
      </c>
      <c r="B246" t="s">
        <v>433</v>
      </c>
    </row>
    <row r="247" spans="1:2">
      <c r="A247" t="s">
        <v>414</v>
      </c>
      <c r="B247" t="s">
        <v>432</v>
      </c>
    </row>
    <row r="248" spans="1:2">
      <c r="A248" t="s">
        <v>414</v>
      </c>
      <c r="B248" t="s">
        <v>432</v>
      </c>
    </row>
    <row r="249" spans="1:2">
      <c r="A249" t="s">
        <v>413</v>
      </c>
      <c r="B249" t="s">
        <v>432</v>
      </c>
    </row>
    <row r="250" spans="1:2">
      <c r="A250" t="s">
        <v>413</v>
      </c>
      <c r="B250" t="s">
        <v>432</v>
      </c>
    </row>
    <row r="251" spans="1:2">
      <c r="A251" t="s">
        <v>413</v>
      </c>
      <c r="B251" t="s">
        <v>433</v>
      </c>
    </row>
    <row r="252" spans="1:2">
      <c r="A252" t="s">
        <v>413</v>
      </c>
      <c r="B252" t="s">
        <v>432</v>
      </c>
    </row>
    <row r="253" spans="1:2">
      <c r="A253" t="s">
        <v>413</v>
      </c>
      <c r="B253" t="s">
        <v>433</v>
      </c>
    </row>
    <row r="254" spans="1:2">
      <c r="A254" t="s">
        <v>414</v>
      </c>
      <c r="B254" t="s">
        <v>432</v>
      </c>
    </row>
    <row r="255" spans="1:2">
      <c r="A255" t="s">
        <v>414</v>
      </c>
      <c r="B255" t="s">
        <v>433</v>
      </c>
    </row>
    <row r="256" spans="1:2">
      <c r="A256" t="s">
        <v>413</v>
      </c>
      <c r="B256" t="s">
        <v>432</v>
      </c>
    </row>
    <row r="257" spans="1:2">
      <c r="A257" t="s">
        <v>413</v>
      </c>
      <c r="B257" t="s">
        <v>433</v>
      </c>
    </row>
    <row r="258" spans="1:2">
      <c r="A258" t="s">
        <v>413</v>
      </c>
      <c r="B258" t="s">
        <v>432</v>
      </c>
    </row>
    <row r="259" spans="1:2">
      <c r="A259" t="s">
        <v>413</v>
      </c>
      <c r="B259" t="s">
        <v>433</v>
      </c>
    </row>
    <row r="260" spans="1:2">
      <c r="A260" t="s">
        <v>413</v>
      </c>
      <c r="B260" t="s">
        <v>432</v>
      </c>
    </row>
    <row r="261" spans="1:2">
      <c r="A261" t="s">
        <v>413</v>
      </c>
      <c r="B261" t="s">
        <v>432</v>
      </c>
    </row>
    <row r="262" spans="1:2">
      <c r="A262" t="s">
        <v>415</v>
      </c>
      <c r="B262" t="s">
        <v>432</v>
      </c>
    </row>
    <row r="263" spans="1:2">
      <c r="A263" t="s">
        <v>413</v>
      </c>
      <c r="B263" t="s">
        <v>433</v>
      </c>
    </row>
    <row r="264" spans="1:2">
      <c r="A264" t="s">
        <v>413</v>
      </c>
      <c r="B264" t="s">
        <v>432</v>
      </c>
    </row>
    <row r="265" spans="1:2">
      <c r="A265" t="s">
        <v>413</v>
      </c>
      <c r="B265" t="s">
        <v>433</v>
      </c>
    </row>
    <row r="266" spans="1:2">
      <c r="A266" t="s">
        <v>413</v>
      </c>
      <c r="B266" t="s">
        <v>433</v>
      </c>
    </row>
    <row r="267" spans="1:2">
      <c r="A267" t="s">
        <v>414</v>
      </c>
      <c r="B267" t="s">
        <v>432</v>
      </c>
    </row>
    <row r="268" spans="1:2">
      <c r="A268" t="s">
        <v>413</v>
      </c>
      <c r="B268" t="s">
        <v>433</v>
      </c>
    </row>
    <row r="269" spans="1:2">
      <c r="A269" t="s">
        <v>413</v>
      </c>
      <c r="B269" t="s">
        <v>432</v>
      </c>
    </row>
    <row r="270" spans="1:2">
      <c r="A270" t="s">
        <v>414</v>
      </c>
      <c r="B270" t="s">
        <v>433</v>
      </c>
    </row>
    <row r="271" spans="1:2">
      <c r="A271" t="s">
        <v>413</v>
      </c>
      <c r="B271" t="s">
        <v>432</v>
      </c>
    </row>
    <row r="272" spans="1:2">
      <c r="A272" t="s">
        <v>414</v>
      </c>
      <c r="B272" t="s">
        <v>432</v>
      </c>
    </row>
    <row r="273" spans="1:2">
      <c r="A273" t="s">
        <v>413</v>
      </c>
      <c r="B273" t="s">
        <v>433</v>
      </c>
    </row>
    <row r="274" spans="1:2">
      <c r="A274" t="s">
        <v>414</v>
      </c>
      <c r="B274" t="s">
        <v>432</v>
      </c>
    </row>
    <row r="275" spans="1:2">
      <c r="A275" t="s">
        <v>414</v>
      </c>
      <c r="B275" t="s">
        <v>432</v>
      </c>
    </row>
    <row r="276" spans="1:2">
      <c r="A276" t="s">
        <v>413</v>
      </c>
      <c r="B276" t="s">
        <v>432</v>
      </c>
    </row>
    <row r="277" spans="1:2">
      <c r="A277" t="s">
        <v>414</v>
      </c>
      <c r="B277" t="s">
        <v>432</v>
      </c>
    </row>
    <row r="278" spans="1:2">
      <c r="A278" t="s">
        <v>413</v>
      </c>
      <c r="B278" t="s">
        <v>433</v>
      </c>
    </row>
    <row r="279" spans="1:2">
      <c r="A279" t="s">
        <v>413</v>
      </c>
      <c r="B279" t="s">
        <v>433</v>
      </c>
    </row>
    <row r="280" spans="1:2">
      <c r="A280" t="s">
        <v>414</v>
      </c>
      <c r="B280" t="s">
        <v>432</v>
      </c>
    </row>
    <row r="281" spans="1:2">
      <c r="A281" t="s">
        <v>413</v>
      </c>
      <c r="B281" t="s">
        <v>433</v>
      </c>
    </row>
    <row r="282" spans="1:2">
      <c r="A282" t="s">
        <v>414</v>
      </c>
      <c r="B282" t="s">
        <v>432</v>
      </c>
    </row>
    <row r="283" spans="1:2">
      <c r="A283" t="s">
        <v>413</v>
      </c>
      <c r="B283" t="s">
        <v>433</v>
      </c>
    </row>
    <row r="284" spans="1:2">
      <c r="A284" t="s">
        <v>413</v>
      </c>
      <c r="B284" t="s">
        <v>432</v>
      </c>
    </row>
    <row r="285" spans="1:2">
      <c r="A285" t="s">
        <v>413</v>
      </c>
      <c r="B285" t="s">
        <v>432</v>
      </c>
    </row>
    <row r="286" spans="1:2">
      <c r="A286" t="s">
        <v>413</v>
      </c>
      <c r="B286" t="s">
        <v>432</v>
      </c>
    </row>
    <row r="287" spans="1:2">
      <c r="A287" t="s">
        <v>413</v>
      </c>
      <c r="B287" t="s">
        <v>432</v>
      </c>
    </row>
    <row r="288" spans="1:2">
      <c r="A288" t="s">
        <v>414</v>
      </c>
      <c r="B288" t="s">
        <v>432</v>
      </c>
    </row>
    <row r="289" spans="1:2">
      <c r="A289" t="s">
        <v>413</v>
      </c>
      <c r="B289" t="s">
        <v>433</v>
      </c>
    </row>
    <row r="290" spans="1:2">
      <c r="A290" t="s">
        <v>413</v>
      </c>
      <c r="B290" t="s">
        <v>433</v>
      </c>
    </row>
    <row r="291" spans="1:2">
      <c r="A291" t="s">
        <v>413</v>
      </c>
      <c r="B291" t="s">
        <v>432</v>
      </c>
    </row>
    <row r="292" spans="1:2">
      <c r="A292" t="s">
        <v>414</v>
      </c>
      <c r="B292" t="s">
        <v>432</v>
      </c>
    </row>
    <row r="293" spans="1:2">
      <c r="A293" t="s">
        <v>413</v>
      </c>
      <c r="B293" t="s">
        <v>433</v>
      </c>
    </row>
    <row r="294" spans="1:2">
      <c r="A294" t="s">
        <v>414</v>
      </c>
      <c r="B294" t="s">
        <v>432</v>
      </c>
    </row>
    <row r="295" spans="1:2">
      <c r="A295" t="s">
        <v>413</v>
      </c>
      <c r="B295" t="s">
        <v>433</v>
      </c>
    </row>
    <row r="296" spans="1:2">
      <c r="A296" t="s">
        <v>413</v>
      </c>
      <c r="B296" t="s">
        <v>433</v>
      </c>
    </row>
    <row r="297" spans="1:2">
      <c r="A297" t="s">
        <v>413</v>
      </c>
      <c r="B297" t="s">
        <v>433</v>
      </c>
    </row>
    <row r="298" spans="1:2">
      <c r="A298" t="s">
        <v>414</v>
      </c>
      <c r="B298" t="s">
        <v>432</v>
      </c>
    </row>
    <row r="299" spans="1:2">
      <c r="A299" t="s">
        <v>413</v>
      </c>
      <c r="B299" t="s">
        <v>432</v>
      </c>
    </row>
    <row r="300" spans="1:2">
      <c r="A300" t="s">
        <v>413</v>
      </c>
      <c r="B300" t="s">
        <v>432</v>
      </c>
    </row>
    <row r="301" spans="1:2">
      <c r="A301" t="s">
        <v>414</v>
      </c>
      <c r="B301" t="s">
        <v>433</v>
      </c>
    </row>
    <row r="302" spans="1:2">
      <c r="A302" t="s">
        <v>414</v>
      </c>
      <c r="B302" t="s">
        <v>432</v>
      </c>
    </row>
    <row r="303" spans="1:2">
      <c r="A303" t="s">
        <v>414</v>
      </c>
      <c r="B303" t="s">
        <v>433</v>
      </c>
    </row>
    <row r="304" spans="1:2">
      <c r="A304" t="s">
        <v>414</v>
      </c>
      <c r="B304" t="s">
        <v>433</v>
      </c>
    </row>
    <row r="305" spans="1:2">
      <c r="A305" t="s">
        <v>413</v>
      </c>
      <c r="B305" t="s">
        <v>433</v>
      </c>
    </row>
    <row r="306" spans="1:2">
      <c r="A306" t="s">
        <v>413</v>
      </c>
      <c r="B306" t="s">
        <v>432</v>
      </c>
    </row>
    <row r="307" spans="1:2">
      <c r="A307" t="s">
        <v>413</v>
      </c>
      <c r="B307" t="s">
        <v>432</v>
      </c>
    </row>
    <row r="308" spans="1:2">
      <c r="A308" t="s">
        <v>414</v>
      </c>
      <c r="B308" t="s">
        <v>432</v>
      </c>
    </row>
    <row r="309" spans="1:2">
      <c r="A309" t="s">
        <v>414</v>
      </c>
      <c r="B309" t="s">
        <v>432</v>
      </c>
    </row>
    <row r="310" spans="1:2">
      <c r="A310" t="s">
        <v>413</v>
      </c>
      <c r="B310" t="s">
        <v>433</v>
      </c>
    </row>
    <row r="311" spans="1:2">
      <c r="A311" t="s">
        <v>415</v>
      </c>
      <c r="B311" t="s">
        <v>432</v>
      </c>
    </row>
    <row r="312" spans="1:2">
      <c r="A312" t="s">
        <v>413</v>
      </c>
      <c r="B312" t="s">
        <v>432</v>
      </c>
    </row>
    <row r="313" spans="1:2">
      <c r="A313" t="s">
        <v>414</v>
      </c>
      <c r="B313" t="s">
        <v>432</v>
      </c>
    </row>
    <row r="314" spans="1:2">
      <c r="A314" t="s">
        <v>413</v>
      </c>
      <c r="B314" t="s">
        <v>432</v>
      </c>
    </row>
    <row r="315" spans="1:2">
      <c r="A315" t="s">
        <v>413</v>
      </c>
      <c r="B315" t="s">
        <v>433</v>
      </c>
    </row>
    <row r="316" spans="1:2">
      <c r="A316" t="s">
        <v>414</v>
      </c>
      <c r="B316" t="s">
        <v>433</v>
      </c>
    </row>
    <row r="317" spans="1:2">
      <c r="A317" t="s">
        <v>415</v>
      </c>
      <c r="B317" t="s">
        <v>432</v>
      </c>
    </row>
    <row r="318" spans="1:2">
      <c r="A318" t="s">
        <v>414</v>
      </c>
      <c r="B318" t="s">
        <v>432</v>
      </c>
    </row>
    <row r="319" spans="1:2">
      <c r="A319" t="s">
        <v>413</v>
      </c>
      <c r="B319" t="s">
        <v>432</v>
      </c>
    </row>
    <row r="320" spans="1:2">
      <c r="A320" t="s">
        <v>414</v>
      </c>
      <c r="B320" t="s">
        <v>432</v>
      </c>
    </row>
    <row r="321" spans="1:2">
      <c r="A321" t="s">
        <v>413</v>
      </c>
      <c r="B321" t="s">
        <v>432</v>
      </c>
    </row>
    <row r="322" spans="1:2">
      <c r="A322" t="s">
        <v>414</v>
      </c>
      <c r="B322" t="s">
        <v>432</v>
      </c>
    </row>
    <row r="323" spans="1:2">
      <c r="A323" t="s">
        <v>414</v>
      </c>
      <c r="B323" t="s">
        <v>432</v>
      </c>
    </row>
    <row r="324" spans="1:2">
      <c r="A324" t="s">
        <v>413</v>
      </c>
      <c r="B324" t="s">
        <v>432</v>
      </c>
    </row>
    <row r="325" spans="1:2">
      <c r="A325" t="s">
        <v>413</v>
      </c>
      <c r="B325" t="s">
        <v>433</v>
      </c>
    </row>
    <row r="326" spans="1:2">
      <c r="A326" t="s">
        <v>414</v>
      </c>
      <c r="B326" t="s">
        <v>432</v>
      </c>
    </row>
    <row r="327" spans="1:2">
      <c r="A327" t="s">
        <v>413</v>
      </c>
      <c r="B327" t="s">
        <v>433</v>
      </c>
    </row>
    <row r="328" spans="1:2">
      <c r="A328" t="s">
        <v>413</v>
      </c>
      <c r="B328" t="s">
        <v>433</v>
      </c>
    </row>
    <row r="329" spans="1:2">
      <c r="A329" t="s">
        <v>413</v>
      </c>
      <c r="B329" t="s">
        <v>433</v>
      </c>
    </row>
    <row r="330" spans="1:2">
      <c r="A330" t="s">
        <v>413</v>
      </c>
      <c r="B330" t="s">
        <v>433</v>
      </c>
    </row>
    <row r="331" spans="1:2">
      <c r="A331" t="s">
        <v>413</v>
      </c>
      <c r="B331" t="s">
        <v>432</v>
      </c>
    </row>
    <row r="332" spans="1:2">
      <c r="A332" t="s">
        <v>414</v>
      </c>
      <c r="B332" t="s">
        <v>432</v>
      </c>
    </row>
    <row r="333" spans="1:2">
      <c r="A333" t="s">
        <v>414</v>
      </c>
      <c r="B333" t="s">
        <v>432</v>
      </c>
    </row>
    <row r="334" spans="1:2">
      <c r="A334" t="s">
        <v>414</v>
      </c>
      <c r="B334" t="s">
        <v>432</v>
      </c>
    </row>
    <row r="335" spans="1:2">
      <c r="A335" t="s">
        <v>414</v>
      </c>
      <c r="B335" t="s">
        <v>432</v>
      </c>
    </row>
    <row r="336" spans="1:2">
      <c r="A336" t="s">
        <v>413</v>
      </c>
      <c r="B336" t="s">
        <v>432</v>
      </c>
    </row>
    <row r="337" spans="1:2">
      <c r="A337" t="s">
        <v>414</v>
      </c>
      <c r="B337" t="s">
        <v>432</v>
      </c>
    </row>
    <row r="338" spans="1:2">
      <c r="A338" t="s">
        <v>413</v>
      </c>
      <c r="B338" t="s">
        <v>433</v>
      </c>
    </row>
    <row r="339" spans="1:2">
      <c r="A339" t="s">
        <v>414</v>
      </c>
      <c r="B339" t="s">
        <v>432</v>
      </c>
    </row>
    <row r="340" spans="1:2">
      <c r="A340" t="s">
        <v>413</v>
      </c>
      <c r="B340" t="s">
        <v>433</v>
      </c>
    </row>
    <row r="341" spans="1:2">
      <c r="A341" t="s">
        <v>414</v>
      </c>
      <c r="B341" t="s">
        <v>432</v>
      </c>
    </row>
    <row r="342" spans="1:2">
      <c r="A342" t="s">
        <v>414</v>
      </c>
      <c r="B342" t="s">
        <v>432</v>
      </c>
    </row>
    <row r="343" spans="1:2">
      <c r="A343" t="s">
        <v>414</v>
      </c>
      <c r="B343" t="s">
        <v>432</v>
      </c>
    </row>
    <row r="344" spans="1:2">
      <c r="A344" t="s">
        <v>413</v>
      </c>
      <c r="B344" t="s">
        <v>432</v>
      </c>
    </row>
    <row r="345" spans="1:2">
      <c r="A345" t="s">
        <v>414</v>
      </c>
      <c r="B345" t="s">
        <v>432</v>
      </c>
    </row>
    <row r="346" spans="1:2">
      <c r="A346" t="s">
        <v>414</v>
      </c>
      <c r="B346" t="s">
        <v>432</v>
      </c>
    </row>
    <row r="347" spans="1:2">
      <c r="A347" t="s">
        <v>413</v>
      </c>
      <c r="B347" t="s">
        <v>432</v>
      </c>
    </row>
    <row r="348" spans="1:2">
      <c r="A348" t="s">
        <v>413</v>
      </c>
      <c r="B348" t="s">
        <v>433</v>
      </c>
    </row>
    <row r="349" spans="1:2">
      <c r="A349" t="s">
        <v>414</v>
      </c>
      <c r="B349" t="s">
        <v>432</v>
      </c>
    </row>
    <row r="350" spans="1:2">
      <c r="A350" t="s">
        <v>414</v>
      </c>
      <c r="B350" t="s">
        <v>433</v>
      </c>
    </row>
    <row r="351" spans="1:2">
      <c r="A351" t="s">
        <v>414</v>
      </c>
      <c r="B351" t="s">
        <v>432</v>
      </c>
    </row>
    <row r="352" spans="1:2">
      <c r="A352" t="s">
        <v>413</v>
      </c>
      <c r="B352" t="s">
        <v>433</v>
      </c>
    </row>
    <row r="353" spans="1:2">
      <c r="A353" t="s">
        <v>414</v>
      </c>
      <c r="B353" t="s">
        <v>433</v>
      </c>
    </row>
    <row r="354" spans="1:2">
      <c r="A354" t="s">
        <v>414</v>
      </c>
      <c r="B354" t="s">
        <v>433</v>
      </c>
    </row>
    <row r="355" spans="1:2">
      <c r="A355" t="s">
        <v>415</v>
      </c>
      <c r="B355" t="s">
        <v>432</v>
      </c>
    </row>
    <row r="356" spans="1:2">
      <c r="A356" t="s">
        <v>413</v>
      </c>
      <c r="B356" t="s">
        <v>432</v>
      </c>
    </row>
    <row r="357" spans="1:2">
      <c r="A357" t="s">
        <v>415</v>
      </c>
      <c r="B357" t="s">
        <v>432</v>
      </c>
    </row>
    <row r="358" spans="1:2">
      <c r="A358" t="s">
        <v>414</v>
      </c>
      <c r="B358" t="s">
        <v>432</v>
      </c>
    </row>
    <row r="359" spans="1:2">
      <c r="A359" t="s">
        <v>414</v>
      </c>
      <c r="B359" t="s">
        <v>432</v>
      </c>
    </row>
    <row r="360" spans="1:2">
      <c r="A360" t="s">
        <v>413</v>
      </c>
      <c r="B360" t="s">
        <v>432</v>
      </c>
    </row>
    <row r="361" spans="1:2">
      <c r="A361" t="s">
        <v>414</v>
      </c>
      <c r="B361" t="s">
        <v>433</v>
      </c>
    </row>
    <row r="362" spans="1:2">
      <c r="A362" t="s">
        <v>413</v>
      </c>
      <c r="B362" t="s">
        <v>433</v>
      </c>
    </row>
    <row r="363" spans="1:2">
      <c r="A363" t="s">
        <v>414</v>
      </c>
      <c r="B363" t="s">
        <v>432</v>
      </c>
    </row>
    <row r="364" spans="1:2">
      <c r="A364" t="s">
        <v>414</v>
      </c>
      <c r="B364" t="s">
        <v>433</v>
      </c>
    </row>
    <row r="365" spans="1:2">
      <c r="A365" t="s">
        <v>414</v>
      </c>
      <c r="B365" t="s">
        <v>432</v>
      </c>
    </row>
    <row r="366" spans="1:2">
      <c r="A366" t="s">
        <v>413</v>
      </c>
      <c r="B366" t="s">
        <v>432</v>
      </c>
    </row>
    <row r="367" spans="1:2">
      <c r="A367" t="s">
        <v>413</v>
      </c>
      <c r="B367" t="s">
        <v>432</v>
      </c>
    </row>
    <row r="368" spans="1:2">
      <c r="A368" t="s">
        <v>414</v>
      </c>
      <c r="B368" t="s">
        <v>432</v>
      </c>
    </row>
    <row r="369" spans="1:2">
      <c r="A369" t="s">
        <v>413</v>
      </c>
      <c r="B369" t="s">
        <v>433</v>
      </c>
    </row>
    <row r="370" spans="1:2">
      <c r="A370" t="s">
        <v>415</v>
      </c>
      <c r="B370" t="s">
        <v>432</v>
      </c>
    </row>
    <row r="371" spans="1:2">
      <c r="A371" t="s">
        <v>414</v>
      </c>
      <c r="B371" t="s">
        <v>433</v>
      </c>
    </row>
    <row r="372" spans="1:2">
      <c r="A372" t="s">
        <v>413</v>
      </c>
      <c r="B372" t="s">
        <v>432</v>
      </c>
    </row>
    <row r="373" spans="1:2">
      <c r="A373" t="s">
        <v>414</v>
      </c>
      <c r="B373" t="s">
        <v>432</v>
      </c>
    </row>
    <row r="374" spans="1:2">
      <c r="A374" t="s">
        <v>415</v>
      </c>
      <c r="B374" t="s">
        <v>432</v>
      </c>
    </row>
    <row r="375" spans="1:2">
      <c r="A375" t="s">
        <v>413</v>
      </c>
      <c r="B375" t="s">
        <v>433</v>
      </c>
    </row>
    <row r="376" spans="1:2">
      <c r="A376" t="s">
        <v>413</v>
      </c>
      <c r="B376" t="s">
        <v>433</v>
      </c>
    </row>
    <row r="377" spans="1:2">
      <c r="A377" t="s">
        <v>413</v>
      </c>
      <c r="B377" t="s">
        <v>432</v>
      </c>
    </row>
    <row r="378" spans="1:2">
      <c r="A378" t="s">
        <v>413</v>
      </c>
      <c r="B378" t="s">
        <v>433</v>
      </c>
    </row>
    <row r="379" spans="1:2">
      <c r="A379" t="s">
        <v>413</v>
      </c>
      <c r="B379" t="s">
        <v>432</v>
      </c>
    </row>
    <row r="380" spans="1:2">
      <c r="A380" t="s">
        <v>413</v>
      </c>
      <c r="B380" t="s">
        <v>433</v>
      </c>
    </row>
    <row r="381" spans="1:2">
      <c r="A381" t="s">
        <v>413</v>
      </c>
      <c r="B381" t="s">
        <v>432</v>
      </c>
    </row>
    <row r="382" spans="1:2">
      <c r="A382" t="s">
        <v>414</v>
      </c>
      <c r="B382" t="s">
        <v>432</v>
      </c>
    </row>
    <row r="383" spans="1:2">
      <c r="A383" t="s">
        <v>414</v>
      </c>
      <c r="B383" t="s">
        <v>432</v>
      </c>
    </row>
    <row r="384" spans="1:2">
      <c r="A384" t="s">
        <v>414</v>
      </c>
      <c r="B384" t="s">
        <v>432</v>
      </c>
    </row>
    <row r="385" spans="1:2">
      <c r="A385" t="s">
        <v>413</v>
      </c>
      <c r="B385" t="s">
        <v>432</v>
      </c>
    </row>
    <row r="386" spans="1:2">
      <c r="A386" t="s">
        <v>414</v>
      </c>
      <c r="B386" t="s">
        <v>432</v>
      </c>
    </row>
    <row r="387" spans="1:2">
      <c r="A387" t="s">
        <v>413</v>
      </c>
      <c r="B387" t="s">
        <v>432</v>
      </c>
    </row>
    <row r="388" spans="1:2">
      <c r="A388" t="s">
        <v>413</v>
      </c>
      <c r="B388" t="s">
        <v>432</v>
      </c>
    </row>
    <row r="389" spans="1:2">
      <c r="A389" t="s">
        <v>413</v>
      </c>
      <c r="B389" t="s">
        <v>432</v>
      </c>
    </row>
    <row r="390" spans="1:2">
      <c r="A390" t="s">
        <v>413</v>
      </c>
      <c r="B390" t="s">
        <v>433</v>
      </c>
    </row>
    <row r="391" spans="1:2">
      <c r="A391" t="s">
        <v>414</v>
      </c>
      <c r="B391" t="s">
        <v>432</v>
      </c>
    </row>
    <row r="392" spans="1:2">
      <c r="A392" t="s">
        <v>414</v>
      </c>
      <c r="B392" t="s">
        <v>432</v>
      </c>
    </row>
    <row r="393" spans="1:2">
      <c r="A393" t="s">
        <v>414</v>
      </c>
      <c r="B393" t="s">
        <v>432</v>
      </c>
    </row>
    <row r="394" spans="1:2">
      <c r="A394" t="s">
        <v>414</v>
      </c>
      <c r="B394" t="s">
        <v>432</v>
      </c>
    </row>
    <row r="395" spans="1:2">
      <c r="A395" t="s">
        <v>413</v>
      </c>
      <c r="B395" t="s">
        <v>432</v>
      </c>
    </row>
    <row r="396" spans="1:2">
      <c r="A396" t="s">
        <v>413</v>
      </c>
      <c r="B396" t="s">
        <v>432</v>
      </c>
    </row>
    <row r="397" spans="1:2">
      <c r="A397" t="s">
        <v>413</v>
      </c>
      <c r="B397" t="s">
        <v>433</v>
      </c>
    </row>
    <row r="398" spans="1:2">
      <c r="A398" t="s">
        <v>414</v>
      </c>
      <c r="B398" t="s">
        <v>432</v>
      </c>
    </row>
    <row r="399" spans="1:2">
      <c r="A399" t="s">
        <v>414</v>
      </c>
      <c r="B399" t="s">
        <v>432</v>
      </c>
    </row>
    <row r="400" spans="1:2">
      <c r="A400" t="s">
        <v>414</v>
      </c>
      <c r="B400" t="s">
        <v>433</v>
      </c>
    </row>
    <row r="401" spans="1:2">
      <c r="A401" t="s">
        <v>414</v>
      </c>
      <c r="B401" t="s">
        <v>432</v>
      </c>
    </row>
  </sheetData>
  <mergeCells count="8">
    <mergeCell ref="D18:G18"/>
    <mergeCell ref="D20:G20"/>
    <mergeCell ref="D27:G27"/>
    <mergeCell ref="D19:G19"/>
    <mergeCell ref="D28:G28"/>
    <mergeCell ref="D7:G7"/>
    <mergeCell ref="D8:G8"/>
    <mergeCell ref="C1:H2"/>
  </mergeCells>
  <pageMargins left="0.7" right="0.7" top="0.75" bottom="0.75" header="0.3" footer="0.3"/>
  <drawing r:id="rId2"/>
  <tableParts count="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50C73-23AE-2A48-A96B-95412173C30D}">
  <dimension ref="A1:O401"/>
  <sheetViews>
    <sheetView zoomScale="106" workbookViewId="0">
      <selection activeCell="E23" sqref="E23"/>
    </sheetView>
  </sheetViews>
  <sheetFormatPr baseColWidth="10" defaultRowHeight="15"/>
  <cols>
    <col min="1" max="1" width="12.83203125" customWidth="1"/>
    <col min="2" max="2" width="14.1640625" customWidth="1"/>
    <col min="3" max="4" width="12.1640625" bestFit="1" customWidth="1"/>
    <col min="5" max="5" width="12" customWidth="1"/>
    <col min="6" max="6" width="24.33203125" customWidth="1"/>
    <col min="7" max="7" width="30.5" customWidth="1"/>
    <col min="8" max="8" width="26.5" customWidth="1"/>
    <col min="9" max="9" width="36.5" customWidth="1"/>
    <col min="10" max="10" width="15" customWidth="1"/>
    <col min="11" max="11" width="28" customWidth="1"/>
    <col min="12" max="12" width="29.33203125" bestFit="1" customWidth="1"/>
    <col min="13" max="13" width="17.5" bestFit="1" customWidth="1"/>
    <col min="14" max="14" width="16.6640625" bestFit="1" customWidth="1"/>
    <col min="15" max="15" width="14.83203125" bestFit="1" customWidth="1"/>
    <col min="16" max="16" width="5.83203125" bestFit="1" customWidth="1"/>
    <col min="17" max="17" width="10.6640625" bestFit="1" customWidth="1"/>
    <col min="18" max="18" width="10" bestFit="1" customWidth="1"/>
    <col min="19" max="70" width="3.1640625" bestFit="1" customWidth="1"/>
    <col min="71" max="71" width="10" bestFit="1" customWidth="1"/>
  </cols>
  <sheetData>
    <row r="1" spans="1:13" ht="21">
      <c r="A1" s="2" t="s">
        <v>1</v>
      </c>
      <c r="B1" s="2" t="s">
        <v>10</v>
      </c>
      <c r="C1" s="242" t="s">
        <v>605</v>
      </c>
      <c r="D1" s="199"/>
      <c r="E1" s="199"/>
      <c r="F1" s="243" t="s">
        <v>670</v>
      </c>
      <c r="G1" s="243"/>
      <c r="H1" s="243"/>
      <c r="I1" s="243"/>
      <c r="J1" s="243"/>
      <c r="K1" s="243"/>
      <c r="L1" s="243"/>
    </row>
    <row r="2" spans="1:13">
      <c r="A2">
        <v>67</v>
      </c>
      <c r="B2" t="s">
        <v>443</v>
      </c>
      <c r="C2" t="str">
        <f>IF(A2&lt;30,"18-29",IF(A2&lt;45,"30-44",IF(A2&lt;60,"45-59","60+")))</f>
        <v>60+</v>
      </c>
      <c r="D2" s="199"/>
      <c r="E2" s="199"/>
    </row>
    <row r="3" spans="1:13">
      <c r="A3">
        <v>20</v>
      </c>
      <c r="B3" t="s">
        <v>444</v>
      </c>
      <c r="C3" t="str">
        <f t="shared" ref="C3:C66" si="0">IF(A3&lt;30,"18-29",IF(A3&lt;45,"30-44",IF(A3&lt;60,"45-59","60+")))</f>
        <v>18-29</v>
      </c>
      <c r="D3" s="199"/>
      <c r="E3" s="199"/>
    </row>
    <row r="4" spans="1:13">
      <c r="A4">
        <v>43</v>
      </c>
      <c r="B4" t="s">
        <v>444</v>
      </c>
      <c r="C4" t="str">
        <f t="shared" si="0"/>
        <v>30-44</v>
      </c>
      <c r="D4" s="199"/>
      <c r="E4" s="199"/>
    </row>
    <row r="5" spans="1:13">
      <c r="A5">
        <v>51</v>
      </c>
      <c r="B5" t="s">
        <v>444</v>
      </c>
      <c r="C5" t="str">
        <f t="shared" si="0"/>
        <v>45-59</v>
      </c>
      <c r="D5" s="300" t="s">
        <v>703</v>
      </c>
      <c r="E5" s="300"/>
      <c r="H5" s="244" t="s">
        <v>610</v>
      </c>
      <c r="I5" s="244"/>
      <c r="J5" s="238"/>
    </row>
    <row r="6" spans="1:13">
      <c r="A6">
        <v>57</v>
      </c>
      <c r="B6" t="s">
        <v>444</v>
      </c>
      <c r="C6" t="str">
        <f t="shared" si="0"/>
        <v>45-59</v>
      </c>
      <c r="D6" s="300"/>
      <c r="E6" s="300"/>
      <c r="G6" s="145"/>
      <c r="H6" s="244" t="s">
        <v>619</v>
      </c>
      <c r="I6" s="244"/>
      <c r="J6" s="199"/>
      <c r="M6" s="145"/>
    </row>
    <row r="7" spans="1:13">
      <c r="A7">
        <v>40</v>
      </c>
      <c r="B7" t="s">
        <v>444</v>
      </c>
      <c r="C7" t="str">
        <f t="shared" si="0"/>
        <v>30-44</v>
      </c>
      <c r="D7" s="300"/>
      <c r="E7" s="300"/>
      <c r="G7" s="145"/>
      <c r="H7" s="145" t="s">
        <v>591</v>
      </c>
      <c r="I7" s="145" t="s">
        <v>559</v>
      </c>
    </row>
    <row r="8" spans="1:13">
      <c r="A8">
        <v>74</v>
      </c>
      <c r="B8" t="s">
        <v>444</v>
      </c>
      <c r="C8" t="str">
        <f t="shared" si="0"/>
        <v>60+</v>
      </c>
      <c r="D8" s="300"/>
      <c r="E8" s="300"/>
      <c r="H8" s="145" t="s">
        <v>658</v>
      </c>
      <c r="I8" s="153">
        <f>AVERAGE(A2:A401)</f>
        <v>46.55</v>
      </c>
    </row>
    <row r="9" spans="1:13">
      <c r="A9">
        <v>41</v>
      </c>
      <c r="B9" t="s">
        <v>444</v>
      </c>
      <c r="C9" t="str">
        <f t="shared" si="0"/>
        <v>30-44</v>
      </c>
      <c r="D9" s="300"/>
      <c r="E9" s="300"/>
      <c r="H9" s="145" t="s">
        <v>659</v>
      </c>
      <c r="I9">
        <f>MODE(A2:A401)</f>
        <v>58</v>
      </c>
    </row>
    <row r="10" spans="1:13">
      <c r="A10">
        <v>69</v>
      </c>
      <c r="B10" t="s">
        <v>444</v>
      </c>
      <c r="C10" t="str">
        <f t="shared" si="0"/>
        <v>60+</v>
      </c>
      <c r="D10" s="300"/>
      <c r="E10" s="300"/>
      <c r="H10" s="145" t="s">
        <v>660</v>
      </c>
      <c r="I10">
        <f>MAX(A2:A401)-MIN(A2:A401)</f>
        <v>57</v>
      </c>
      <c r="J10" s="202"/>
    </row>
    <row r="11" spans="1:13">
      <c r="A11">
        <v>53</v>
      </c>
      <c r="B11" t="s">
        <v>444</v>
      </c>
      <c r="C11" t="str">
        <f t="shared" si="0"/>
        <v>45-59</v>
      </c>
      <c r="G11" s="145"/>
      <c r="J11" s="203"/>
    </row>
    <row r="12" spans="1:13">
      <c r="A12">
        <v>51</v>
      </c>
      <c r="B12" t="s">
        <v>444</v>
      </c>
      <c r="C12" t="str">
        <f t="shared" si="0"/>
        <v>45-59</v>
      </c>
    </row>
    <row r="13" spans="1:13">
      <c r="A13">
        <v>42</v>
      </c>
      <c r="B13" t="s">
        <v>443</v>
      </c>
      <c r="C13" t="str">
        <f t="shared" si="0"/>
        <v>30-44</v>
      </c>
      <c r="H13" s="244" t="s">
        <v>620</v>
      </c>
      <c r="I13" s="244"/>
    </row>
    <row r="14" spans="1:13">
      <c r="A14">
        <v>40</v>
      </c>
      <c r="B14" t="s">
        <v>444</v>
      </c>
      <c r="C14" t="str">
        <f t="shared" si="0"/>
        <v>30-44</v>
      </c>
      <c r="H14" s="244" t="s">
        <v>619</v>
      </c>
      <c r="I14" s="244"/>
    </row>
    <row r="15" spans="1:13">
      <c r="A15">
        <v>54</v>
      </c>
      <c r="B15" t="s">
        <v>445</v>
      </c>
      <c r="C15" t="str">
        <f t="shared" si="0"/>
        <v>45-59</v>
      </c>
      <c r="H15" s="159" t="s">
        <v>661</v>
      </c>
      <c r="I15" t="s">
        <v>662</v>
      </c>
    </row>
    <row r="16" spans="1:13">
      <c r="A16">
        <v>58</v>
      </c>
      <c r="B16" t="s">
        <v>445</v>
      </c>
      <c r="C16" t="str">
        <f t="shared" si="0"/>
        <v>45-59</v>
      </c>
      <c r="H16" s="160" t="s">
        <v>443</v>
      </c>
      <c r="I16" s="146">
        <v>129</v>
      </c>
    </row>
    <row r="17" spans="1:13">
      <c r="A17">
        <v>64</v>
      </c>
      <c r="B17" t="s">
        <v>444</v>
      </c>
      <c r="C17" t="str">
        <f t="shared" si="0"/>
        <v>60+</v>
      </c>
      <c r="H17" s="160" t="s">
        <v>445</v>
      </c>
      <c r="I17" s="146">
        <v>69</v>
      </c>
    </row>
    <row r="18" spans="1:13">
      <c r="A18">
        <v>48</v>
      </c>
      <c r="B18" t="s">
        <v>445</v>
      </c>
      <c r="C18" t="str">
        <f t="shared" si="0"/>
        <v>45-59</v>
      </c>
      <c r="H18" s="160" t="s">
        <v>444</v>
      </c>
      <c r="I18" s="146">
        <v>202</v>
      </c>
    </row>
    <row r="19" spans="1:13">
      <c r="A19">
        <v>48</v>
      </c>
      <c r="B19" t="s">
        <v>443</v>
      </c>
      <c r="C19" t="str">
        <f t="shared" si="0"/>
        <v>45-59</v>
      </c>
      <c r="H19" s="160" t="s">
        <v>564</v>
      </c>
      <c r="I19" s="146">
        <v>400</v>
      </c>
    </row>
    <row r="20" spans="1:13">
      <c r="A20">
        <v>49</v>
      </c>
      <c r="B20" t="s">
        <v>444</v>
      </c>
      <c r="C20" t="str">
        <f t="shared" si="0"/>
        <v>45-59</v>
      </c>
    </row>
    <row r="21" spans="1:13">
      <c r="A21">
        <v>25</v>
      </c>
      <c r="B21" t="s">
        <v>444</v>
      </c>
      <c r="C21" t="str">
        <f t="shared" si="0"/>
        <v>18-29</v>
      </c>
      <c r="H21" s="239" t="s">
        <v>669</v>
      </c>
      <c r="I21" s="239"/>
      <c r="J21" s="239"/>
    </row>
    <row r="22" spans="1:13">
      <c r="A22">
        <v>65</v>
      </c>
      <c r="B22" t="s">
        <v>443</v>
      </c>
      <c r="C22" t="str">
        <f t="shared" si="0"/>
        <v>60+</v>
      </c>
      <c r="H22" s="145" t="s">
        <v>592</v>
      </c>
      <c r="I22" s="145" t="s">
        <v>1</v>
      </c>
      <c r="J22" t="s">
        <v>10</v>
      </c>
    </row>
    <row r="23" spans="1:13">
      <c r="A23">
        <v>42</v>
      </c>
      <c r="B23" t="s">
        <v>443</v>
      </c>
      <c r="C23" t="str">
        <f t="shared" si="0"/>
        <v>30-44</v>
      </c>
      <c r="H23" t="s">
        <v>555</v>
      </c>
      <c r="I23" t="s">
        <v>615</v>
      </c>
      <c r="J23" t="s">
        <v>444</v>
      </c>
    </row>
    <row r="24" spans="1:13">
      <c r="A24">
        <v>18</v>
      </c>
      <c r="B24" t="s">
        <v>444</v>
      </c>
      <c r="C24" t="str">
        <f t="shared" si="0"/>
        <v>18-29</v>
      </c>
      <c r="H24" s="199"/>
      <c r="I24" s="199"/>
    </row>
    <row r="25" spans="1:13">
      <c r="A25">
        <v>65</v>
      </c>
      <c r="B25" t="s">
        <v>443</v>
      </c>
      <c r="C25" t="str">
        <f t="shared" si="0"/>
        <v>60+</v>
      </c>
      <c r="J25" s="199"/>
      <c r="K25" s="199"/>
      <c r="L25" s="199"/>
      <c r="M25" s="199"/>
    </row>
    <row r="26" spans="1:13" ht="19">
      <c r="A26">
        <v>38</v>
      </c>
      <c r="B26" t="s">
        <v>443</v>
      </c>
      <c r="C26" t="str">
        <f t="shared" si="0"/>
        <v>30-44</v>
      </c>
      <c r="H26" s="240" t="s">
        <v>663</v>
      </c>
      <c r="I26" s="240"/>
      <c r="J26" s="240"/>
      <c r="K26" s="240"/>
      <c r="L26" s="240"/>
    </row>
    <row r="27" spans="1:13">
      <c r="A27">
        <v>51</v>
      </c>
      <c r="B27" t="s">
        <v>444</v>
      </c>
      <c r="C27" t="str">
        <f t="shared" si="0"/>
        <v>45-59</v>
      </c>
    </row>
    <row r="28" spans="1:13">
      <c r="A28">
        <v>20</v>
      </c>
      <c r="B28" t="s">
        <v>444</v>
      </c>
      <c r="C28" t="str">
        <f t="shared" si="0"/>
        <v>18-29</v>
      </c>
      <c r="H28" s="159" t="s">
        <v>668</v>
      </c>
      <c r="I28" s="159" t="s">
        <v>10</v>
      </c>
    </row>
    <row r="29" spans="1:13">
      <c r="A29">
        <v>30</v>
      </c>
      <c r="B29" t="s">
        <v>445</v>
      </c>
      <c r="C29" t="str">
        <f t="shared" si="0"/>
        <v>30-44</v>
      </c>
      <c r="H29" s="159" t="s">
        <v>667</v>
      </c>
      <c r="I29" t="s">
        <v>443</v>
      </c>
      <c r="J29" t="s">
        <v>445</v>
      </c>
      <c r="K29" t="s">
        <v>444</v>
      </c>
      <c r="L29" t="s">
        <v>564</v>
      </c>
    </row>
    <row r="30" spans="1:13">
      <c r="A30">
        <v>37</v>
      </c>
      <c r="B30" t="s">
        <v>445</v>
      </c>
      <c r="C30" t="str">
        <f t="shared" si="0"/>
        <v>30-44</v>
      </c>
      <c r="H30" s="160" t="s">
        <v>606</v>
      </c>
      <c r="I30" s="146">
        <v>31</v>
      </c>
      <c r="J30" s="146">
        <v>14</v>
      </c>
      <c r="K30" s="146">
        <v>46</v>
      </c>
      <c r="L30" s="146">
        <v>91</v>
      </c>
    </row>
    <row r="31" spans="1:13">
      <c r="A31">
        <v>74</v>
      </c>
      <c r="B31" t="s">
        <v>445</v>
      </c>
      <c r="C31" t="str">
        <f t="shared" si="0"/>
        <v>60+</v>
      </c>
      <c r="H31" s="160" t="s">
        <v>607</v>
      </c>
      <c r="I31" s="146">
        <v>30</v>
      </c>
      <c r="J31" s="146">
        <v>16</v>
      </c>
      <c r="K31" s="146">
        <v>38</v>
      </c>
      <c r="L31" s="146">
        <v>84</v>
      </c>
    </row>
    <row r="32" spans="1:13">
      <c r="A32">
        <v>70</v>
      </c>
      <c r="B32" t="s">
        <v>443</v>
      </c>
      <c r="C32" t="str">
        <f t="shared" si="0"/>
        <v>60+</v>
      </c>
      <c r="H32" s="160" t="s">
        <v>608</v>
      </c>
      <c r="I32" s="146">
        <v>35</v>
      </c>
      <c r="J32" s="146">
        <v>23</v>
      </c>
      <c r="K32" s="146">
        <v>60</v>
      </c>
      <c r="L32" s="146">
        <v>118</v>
      </c>
    </row>
    <row r="33" spans="1:12">
      <c r="A33">
        <v>19</v>
      </c>
      <c r="B33" t="s">
        <v>444</v>
      </c>
      <c r="C33" t="str">
        <f t="shared" si="0"/>
        <v>18-29</v>
      </c>
      <c r="H33" s="160" t="s">
        <v>609</v>
      </c>
      <c r="I33" s="146">
        <v>33</v>
      </c>
      <c r="J33" s="146">
        <v>16</v>
      </c>
      <c r="K33" s="146">
        <v>58</v>
      </c>
      <c r="L33" s="146">
        <v>107</v>
      </c>
    </row>
    <row r="34" spans="1:12">
      <c r="A34">
        <v>75</v>
      </c>
      <c r="B34" t="s">
        <v>444</v>
      </c>
      <c r="C34" t="str">
        <f t="shared" si="0"/>
        <v>60+</v>
      </c>
      <c r="H34" s="160" t="s">
        <v>564</v>
      </c>
      <c r="I34" s="146">
        <v>129</v>
      </c>
      <c r="J34" s="146">
        <v>69</v>
      </c>
      <c r="K34" s="146">
        <v>202</v>
      </c>
      <c r="L34" s="146">
        <v>400</v>
      </c>
    </row>
    <row r="35" spans="1:12">
      <c r="A35">
        <v>66</v>
      </c>
      <c r="B35" t="s">
        <v>445</v>
      </c>
      <c r="C35" t="str">
        <f t="shared" si="0"/>
        <v>60+</v>
      </c>
    </row>
    <row r="36" spans="1:12" ht="19">
      <c r="A36">
        <v>36</v>
      </c>
      <c r="B36" t="s">
        <v>444</v>
      </c>
      <c r="C36" t="str">
        <f t="shared" si="0"/>
        <v>30-44</v>
      </c>
      <c r="H36" s="240" t="s">
        <v>664</v>
      </c>
      <c r="I36" s="240"/>
      <c r="J36" s="240"/>
      <c r="K36" s="240"/>
      <c r="L36" s="240"/>
    </row>
    <row r="37" spans="1:12">
      <c r="A37">
        <v>72</v>
      </c>
      <c r="B37" t="s">
        <v>445</v>
      </c>
      <c r="C37" t="str">
        <f t="shared" si="0"/>
        <v>60+</v>
      </c>
      <c r="H37" s="145" t="s">
        <v>610</v>
      </c>
      <c r="I37" s="145" t="s">
        <v>616</v>
      </c>
      <c r="J37" s="145" t="s">
        <v>617</v>
      </c>
      <c r="K37" s="145" t="s">
        <v>611</v>
      </c>
      <c r="L37" s="145" t="s">
        <v>612</v>
      </c>
    </row>
    <row r="38" spans="1:12">
      <c r="A38">
        <v>27</v>
      </c>
      <c r="B38" t="s">
        <v>444</v>
      </c>
      <c r="C38" t="str">
        <f t="shared" si="0"/>
        <v>18-29</v>
      </c>
      <c r="H38" t="s">
        <v>613</v>
      </c>
      <c r="I38" s="158">
        <f>COUNTIFS($C$2:$C$401, "18-29", $B$2:$B$401, "Never") / 400</f>
        <v>3.5000000000000003E-2</v>
      </c>
      <c r="J38" s="158">
        <f>COUNTIFS($C$2:$C$401, "18-29", $B$2:$B$401, "Occasionally") / 400</f>
        <v>0.115</v>
      </c>
      <c r="K38" s="158">
        <f>COUNTIFS($C$2:$C$401, "18-29", $B$2:$B$401, "Frequently") / 400</f>
        <v>7.7499999999999999E-2</v>
      </c>
      <c r="L38" s="158">
        <f>SUM(I38:K38)</f>
        <v>0.22750000000000004</v>
      </c>
    </row>
    <row r="39" spans="1:12">
      <c r="A39">
        <v>18</v>
      </c>
      <c r="B39" t="s">
        <v>445</v>
      </c>
      <c r="C39" t="str">
        <f t="shared" si="0"/>
        <v>18-29</v>
      </c>
      <c r="H39" t="s">
        <v>614</v>
      </c>
      <c r="I39" s="158">
        <f>COUNTIFS($C$2:$C$401, "30-44", $B$2:$B$401, "Never") / 400</f>
        <v>0.04</v>
      </c>
      <c r="J39" s="158">
        <f>COUNTIFS($C$2:$C$401, "30-44", $B$2:$B$401, "Occasionally") / 400</f>
        <v>9.5000000000000001E-2</v>
      </c>
      <c r="K39" s="158">
        <f>COUNTIFS($C$2:$C$401, "30-44", $B$2:$B$401, "Frequently") / 400</f>
        <v>7.4999999999999997E-2</v>
      </c>
      <c r="L39" s="158">
        <f>SUM(I39:K39)</f>
        <v>0.21000000000000002</v>
      </c>
    </row>
    <row r="40" spans="1:12">
      <c r="A40">
        <v>49</v>
      </c>
      <c r="B40" t="s">
        <v>444</v>
      </c>
      <c r="C40" t="str">
        <f t="shared" si="0"/>
        <v>45-59</v>
      </c>
      <c r="H40" t="s">
        <v>615</v>
      </c>
      <c r="I40" s="158">
        <f>COUNTIFS($C$2:$C$401, "45-59", $B$2:$B$401, "Never") / 400</f>
        <v>5.7500000000000002E-2</v>
      </c>
      <c r="J40" s="158">
        <f>COUNTIFS($C$2:$C$401, "45-59", $B$2:$B$401, "Occasionally") / 400</f>
        <v>0.15</v>
      </c>
      <c r="K40" s="158">
        <f>COUNTIFS($C$2:$C$401, "45-59", $B$2:$B$401, "Frequently") / 400</f>
        <v>8.7499999999999994E-2</v>
      </c>
      <c r="L40" s="158">
        <f>SUM(I40:K40)</f>
        <v>0.29499999999999998</v>
      </c>
    </row>
    <row r="41" spans="1:12">
      <c r="A41">
        <v>55</v>
      </c>
      <c r="B41" t="s">
        <v>443</v>
      </c>
      <c r="C41" t="str">
        <f t="shared" si="0"/>
        <v>45-59</v>
      </c>
      <c r="H41" t="s">
        <v>609</v>
      </c>
      <c r="I41" s="158">
        <f>COUNTIFS($C$2:$C$401, "60+", $B$2:$B$401, "Never") / 400</f>
        <v>0.04</v>
      </c>
      <c r="J41" s="158">
        <f>COUNTIFS($C$2:$C$401, "60+", $B$2:$B$401, "Occasionally") / 400</f>
        <v>0.14499999999999999</v>
      </c>
      <c r="K41" s="158">
        <f>COUNTIFS($C$2:$C$401, "60+", $B$2:$B$401, "Frequently") / 400</f>
        <v>8.2500000000000004E-2</v>
      </c>
      <c r="L41" s="158">
        <f>SUM(I41:K41)</f>
        <v>0.26750000000000002</v>
      </c>
    </row>
    <row r="42" spans="1:12">
      <c r="A42">
        <v>24</v>
      </c>
      <c r="B42" t="s">
        <v>443</v>
      </c>
      <c r="C42" t="str">
        <f t="shared" si="0"/>
        <v>18-29</v>
      </c>
      <c r="H42" s="145" t="s">
        <v>587</v>
      </c>
      <c r="I42" s="201">
        <f>SUM(I38:I41)</f>
        <v>0.17250000000000001</v>
      </c>
      <c r="J42" s="201">
        <f>SUM(J38:J41)</f>
        <v>0.505</v>
      </c>
      <c r="K42" s="201">
        <f>SUM(K38:K41)</f>
        <v>0.32250000000000001</v>
      </c>
      <c r="L42" s="204">
        <f>SUM(I42+J42+K42)</f>
        <v>1</v>
      </c>
    </row>
    <row r="43" spans="1:12">
      <c r="A43">
        <v>47</v>
      </c>
      <c r="B43" t="s">
        <v>443</v>
      </c>
      <c r="C43" t="str">
        <f t="shared" si="0"/>
        <v>45-59</v>
      </c>
    </row>
    <row r="44" spans="1:12">
      <c r="A44">
        <v>59</v>
      </c>
      <c r="B44" t="s">
        <v>445</v>
      </c>
      <c r="C44" t="str">
        <f t="shared" si="0"/>
        <v>45-59</v>
      </c>
    </row>
    <row r="45" spans="1:12" ht="19">
      <c r="A45">
        <v>22</v>
      </c>
      <c r="B45" t="s">
        <v>443</v>
      </c>
      <c r="C45" t="str">
        <f t="shared" si="0"/>
        <v>18-29</v>
      </c>
      <c r="H45" s="241" t="s">
        <v>665</v>
      </c>
      <c r="I45" s="241"/>
      <c r="J45" s="241"/>
      <c r="K45" s="241"/>
      <c r="L45" s="241"/>
    </row>
    <row r="46" spans="1:12">
      <c r="A46">
        <v>48</v>
      </c>
      <c r="B46" t="s">
        <v>444</v>
      </c>
      <c r="C46" t="str">
        <f t="shared" si="0"/>
        <v>45-59</v>
      </c>
      <c r="H46" s="145" t="s">
        <v>610</v>
      </c>
      <c r="I46" s="145" t="s">
        <v>616</v>
      </c>
      <c r="J46" s="145" t="s">
        <v>618</v>
      </c>
      <c r="K46" s="145" t="s">
        <v>611</v>
      </c>
      <c r="L46" s="145" t="s">
        <v>621</v>
      </c>
    </row>
    <row r="47" spans="1:12">
      <c r="A47">
        <v>48</v>
      </c>
      <c r="B47" t="s">
        <v>444</v>
      </c>
      <c r="C47" t="str">
        <f t="shared" si="0"/>
        <v>45-59</v>
      </c>
      <c r="H47" t="s">
        <v>613</v>
      </c>
      <c r="I47" s="158">
        <v>3.5000000000000003E-2</v>
      </c>
      <c r="J47" s="158">
        <v>0.115</v>
      </c>
      <c r="K47" s="158">
        <v>7.7499999999999999E-2</v>
      </c>
      <c r="L47" s="201">
        <f>(I47+J47+K47)</f>
        <v>0.22750000000000004</v>
      </c>
    </row>
    <row r="48" spans="1:12">
      <c r="A48">
        <v>20</v>
      </c>
      <c r="B48" t="s">
        <v>445</v>
      </c>
      <c r="C48" t="str">
        <f t="shared" si="0"/>
        <v>18-29</v>
      </c>
      <c r="H48" t="s">
        <v>614</v>
      </c>
      <c r="I48" s="158">
        <v>0.04</v>
      </c>
      <c r="J48" s="158">
        <v>9.5000000000000001E-2</v>
      </c>
      <c r="K48" s="158">
        <v>7.4999999999999997E-2</v>
      </c>
      <c r="L48" s="201">
        <f t="shared" ref="L48:L50" si="1">(I48+J48+K48)</f>
        <v>0.21000000000000002</v>
      </c>
    </row>
    <row r="49" spans="1:12">
      <c r="A49">
        <v>53</v>
      </c>
      <c r="B49" t="s">
        <v>444</v>
      </c>
      <c r="C49" t="str">
        <f t="shared" si="0"/>
        <v>45-59</v>
      </c>
      <c r="H49" t="s">
        <v>615</v>
      </c>
      <c r="I49" s="158">
        <v>5.7500000000000002E-2</v>
      </c>
      <c r="J49" s="158">
        <v>0.15</v>
      </c>
      <c r="K49" s="158">
        <v>8.7499999999999994E-2</v>
      </c>
      <c r="L49" s="201">
        <f t="shared" si="1"/>
        <v>0.29499999999999998</v>
      </c>
    </row>
    <row r="50" spans="1:12">
      <c r="A50">
        <v>66</v>
      </c>
      <c r="B50" t="s">
        <v>444</v>
      </c>
      <c r="C50" t="str">
        <f t="shared" si="0"/>
        <v>60+</v>
      </c>
      <c r="H50" t="s">
        <v>609</v>
      </c>
      <c r="I50" s="158">
        <v>0.04</v>
      </c>
      <c r="J50" s="158">
        <v>0.14499999999999999</v>
      </c>
      <c r="K50" s="158">
        <v>8.2500000000000004E-2</v>
      </c>
      <c r="L50" s="201">
        <f t="shared" si="1"/>
        <v>0.26750000000000002</v>
      </c>
    </row>
    <row r="51" spans="1:12">
      <c r="A51">
        <v>20</v>
      </c>
      <c r="B51" t="s">
        <v>444</v>
      </c>
      <c r="C51" t="str">
        <f t="shared" si="0"/>
        <v>18-29</v>
      </c>
      <c r="H51" s="145" t="s">
        <v>622</v>
      </c>
      <c r="I51" s="201">
        <v>0.17249999999999999</v>
      </c>
      <c r="J51" s="201">
        <v>0.505</v>
      </c>
      <c r="K51" s="201">
        <v>0.32250000000000001</v>
      </c>
      <c r="L51" s="201">
        <v>1</v>
      </c>
    </row>
    <row r="52" spans="1:12">
      <c r="A52">
        <v>32</v>
      </c>
      <c r="B52" t="s">
        <v>443</v>
      </c>
      <c r="C52" t="str">
        <f t="shared" si="0"/>
        <v>30-44</v>
      </c>
    </row>
    <row r="53" spans="1:12">
      <c r="A53">
        <v>28</v>
      </c>
      <c r="B53" t="s">
        <v>443</v>
      </c>
      <c r="C53" t="str">
        <f t="shared" si="0"/>
        <v>18-29</v>
      </c>
      <c r="E53" s="161"/>
      <c r="F53" s="161"/>
      <c r="G53" s="161"/>
    </row>
    <row r="54" spans="1:12" ht="19">
      <c r="A54">
        <v>41</v>
      </c>
      <c r="B54" t="s">
        <v>443</v>
      </c>
      <c r="C54" t="str">
        <f t="shared" si="0"/>
        <v>30-44</v>
      </c>
      <c r="E54" s="145"/>
      <c r="F54" s="145"/>
      <c r="G54" s="145"/>
      <c r="H54" s="240" t="s">
        <v>666</v>
      </c>
      <c r="I54" s="240"/>
      <c r="J54" s="240"/>
      <c r="K54" s="240"/>
      <c r="L54" s="240"/>
    </row>
    <row r="55" spans="1:12">
      <c r="A55">
        <v>58</v>
      </c>
      <c r="B55" t="s">
        <v>445</v>
      </c>
      <c r="C55" t="str">
        <f t="shared" si="0"/>
        <v>45-59</v>
      </c>
      <c r="H55" s="145" t="s">
        <v>610</v>
      </c>
      <c r="I55" s="145" t="s">
        <v>616</v>
      </c>
      <c r="J55" s="145" t="s">
        <v>617</v>
      </c>
      <c r="K55" s="145" t="s">
        <v>611</v>
      </c>
      <c r="L55" s="145" t="s">
        <v>587</v>
      </c>
    </row>
    <row r="56" spans="1:12">
      <c r="A56">
        <v>26</v>
      </c>
      <c r="B56" t="s">
        <v>444</v>
      </c>
      <c r="C56" t="str">
        <f t="shared" si="0"/>
        <v>18-29</v>
      </c>
      <c r="H56" t="s">
        <v>613</v>
      </c>
      <c r="I56" s="158">
        <f>I38/L38</f>
        <v>0.15384615384615383</v>
      </c>
      <c r="J56" s="158">
        <f>J38/L38</f>
        <v>0.50549450549450547</v>
      </c>
      <c r="K56" s="158">
        <f>K38/L38</f>
        <v>0.34065934065934061</v>
      </c>
      <c r="L56" s="177">
        <f>SUM(I56:K56)</f>
        <v>1</v>
      </c>
    </row>
    <row r="57" spans="1:12">
      <c r="A57">
        <v>62</v>
      </c>
      <c r="B57" t="s">
        <v>444</v>
      </c>
      <c r="C57" t="str">
        <f t="shared" si="0"/>
        <v>60+</v>
      </c>
      <c r="H57" t="s">
        <v>614</v>
      </c>
      <c r="I57" s="158">
        <f>I39/L39</f>
        <v>0.19047619047619047</v>
      </c>
      <c r="J57" s="158">
        <f>J39/L39</f>
        <v>0.45238095238095233</v>
      </c>
      <c r="K57" s="158">
        <f>K39/L39</f>
        <v>0.3571428571428571</v>
      </c>
      <c r="L57" s="177">
        <f>SUM(I57:K57)</f>
        <v>0.99999999999999989</v>
      </c>
    </row>
    <row r="58" spans="1:12">
      <c r="A58">
        <v>24</v>
      </c>
      <c r="B58" t="s">
        <v>443</v>
      </c>
      <c r="C58" t="str">
        <f t="shared" si="0"/>
        <v>18-29</v>
      </c>
      <c r="H58" t="s">
        <v>615</v>
      </c>
      <c r="I58" s="158">
        <f>I40/L40</f>
        <v>0.19491525423728814</v>
      </c>
      <c r="J58" s="158">
        <f>J40/L40</f>
        <v>0.50847457627118642</v>
      </c>
      <c r="K58" s="158">
        <f>K40/L40</f>
        <v>0.29661016949152541</v>
      </c>
      <c r="L58" s="177">
        <f>SUM(I58:K58)</f>
        <v>1</v>
      </c>
    </row>
    <row r="59" spans="1:12">
      <c r="A59">
        <v>65</v>
      </c>
      <c r="B59" t="s">
        <v>444</v>
      </c>
      <c r="C59" t="str">
        <f t="shared" si="0"/>
        <v>60+</v>
      </c>
      <c r="E59" s="145"/>
      <c r="F59" s="145"/>
      <c r="G59" s="145"/>
      <c r="H59" t="s">
        <v>609</v>
      </c>
      <c r="I59" s="158">
        <f>I41/L41</f>
        <v>0.14953271028037382</v>
      </c>
      <c r="J59" s="158">
        <f>J41/L41</f>
        <v>0.54205607476635509</v>
      </c>
      <c r="K59" s="158">
        <f>K41/L41</f>
        <v>0.30841121495327101</v>
      </c>
      <c r="L59" s="177">
        <f>SUM(I59:K59)</f>
        <v>1</v>
      </c>
    </row>
    <row r="60" spans="1:12">
      <c r="A60">
        <v>74</v>
      </c>
      <c r="B60" t="s">
        <v>443</v>
      </c>
      <c r="C60" t="str">
        <f t="shared" si="0"/>
        <v>60+</v>
      </c>
    </row>
    <row r="61" spans="1:12">
      <c r="A61">
        <v>51</v>
      </c>
      <c r="B61" t="s">
        <v>444</v>
      </c>
      <c r="C61" t="str">
        <f t="shared" si="0"/>
        <v>45-59</v>
      </c>
    </row>
    <row r="62" spans="1:12">
      <c r="A62">
        <v>27</v>
      </c>
      <c r="B62" t="s">
        <v>445</v>
      </c>
      <c r="C62" t="str">
        <f t="shared" si="0"/>
        <v>18-29</v>
      </c>
    </row>
    <row r="63" spans="1:12">
      <c r="A63">
        <v>73</v>
      </c>
      <c r="B63" t="s">
        <v>443</v>
      </c>
      <c r="C63" t="str">
        <f t="shared" si="0"/>
        <v>60+</v>
      </c>
    </row>
    <row r="64" spans="1:12">
      <c r="A64">
        <v>30</v>
      </c>
      <c r="B64" t="s">
        <v>444</v>
      </c>
      <c r="C64" t="str">
        <f t="shared" si="0"/>
        <v>30-44</v>
      </c>
    </row>
    <row r="65" spans="1:15">
      <c r="A65">
        <v>42</v>
      </c>
      <c r="B65" t="s">
        <v>444</v>
      </c>
      <c r="C65" t="str">
        <f t="shared" si="0"/>
        <v>30-44</v>
      </c>
    </row>
    <row r="66" spans="1:15">
      <c r="A66">
        <v>72</v>
      </c>
      <c r="B66" t="s">
        <v>444</v>
      </c>
      <c r="C66" t="str">
        <f t="shared" si="0"/>
        <v>60+</v>
      </c>
    </row>
    <row r="67" spans="1:15">
      <c r="A67">
        <v>44</v>
      </c>
      <c r="B67" t="s">
        <v>443</v>
      </c>
      <c r="C67" t="str">
        <f t="shared" ref="C67:C130" si="2">IF(A67&lt;30,"18-29",IF(A67&lt;45,"30-44",IF(A67&lt;60,"45-59","60+")))</f>
        <v>30-44</v>
      </c>
    </row>
    <row r="68" spans="1:15">
      <c r="A68">
        <v>56</v>
      </c>
      <c r="B68" t="s">
        <v>443</v>
      </c>
      <c r="C68" t="str">
        <f t="shared" si="2"/>
        <v>45-59</v>
      </c>
    </row>
    <row r="69" spans="1:15">
      <c r="A69">
        <v>62</v>
      </c>
      <c r="B69" t="s">
        <v>443</v>
      </c>
      <c r="C69" t="str">
        <f t="shared" si="2"/>
        <v>60+</v>
      </c>
    </row>
    <row r="70" spans="1:15">
      <c r="A70">
        <v>70</v>
      </c>
      <c r="B70" t="s">
        <v>445</v>
      </c>
      <c r="C70" t="str">
        <f t="shared" si="2"/>
        <v>60+</v>
      </c>
    </row>
    <row r="71" spans="1:15">
      <c r="A71">
        <v>55</v>
      </c>
      <c r="B71" t="s">
        <v>444</v>
      </c>
      <c r="C71" t="str">
        <f t="shared" si="2"/>
        <v>45-59</v>
      </c>
      <c r="I71" s="162"/>
      <c r="J71" s="162"/>
      <c r="K71" s="162"/>
    </row>
    <row r="72" spans="1:15">
      <c r="A72">
        <v>62</v>
      </c>
      <c r="B72" t="s">
        <v>443</v>
      </c>
      <c r="C72" t="str">
        <f t="shared" si="2"/>
        <v>60+</v>
      </c>
    </row>
    <row r="73" spans="1:15">
      <c r="A73">
        <v>19</v>
      </c>
      <c r="B73" t="s">
        <v>443</v>
      </c>
      <c r="C73" t="str">
        <f t="shared" si="2"/>
        <v>18-29</v>
      </c>
    </row>
    <row r="74" spans="1:15">
      <c r="A74">
        <v>50</v>
      </c>
      <c r="B74" t="s">
        <v>445</v>
      </c>
      <c r="C74" t="str">
        <f t="shared" si="2"/>
        <v>45-59</v>
      </c>
    </row>
    <row r="75" spans="1:15" ht="19">
      <c r="A75">
        <v>41</v>
      </c>
      <c r="B75" t="s">
        <v>444</v>
      </c>
      <c r="C75" t="str">
        <f t="shared" si="2"/>
        <v>30-44</v>
      </c>
      <c r="O75" s="190"/>
    </row>
    <row r="76" spans="1:15" ht="19">
      <c r="A76">
        <v>60</v>
      </c>
      <c r="B76" t="s">
        <v>443</v>
      </c>
      <c r="C76" t="str">
        <f t="shared" si="2"/>
        <v>60+</v>
      </c>
      <c r="O76" s="190"/>
    </row>
    <row r="77" spans="1:15" ht="19">
      <c r="A77">
        <v>34</v>
      </c>
      <c r="B77" t="s">
        <v>444</v>
      </c>
      <c r="C77" t="str">
        <f t="shared" si="2"/>
        <v>30-44</v>
      </c>
      <c r="O77" s="190"/>
    </row>
    <row r="78" spans="1:15" ht="19">
      <c r="A78">
        <v>48</v>
      </c>
      <c r="B78" t="s">
        <v>443</v>
      </c>
      <c r="C78" t="str">
        <f t="shared" si="2"/>
        <v>45-59</v>
      </c>
      <c r="M78" s="190"/>
      <c r="N78" s="190"/>
      <c r="O78" s="190"/>
    </row>
    <row r="79" spans="1:15">
      <c r="A79">
        <v>51</v>
      </c>
      <c r="B79" t="s">
        <v>443</v>
      </c>
      <c r="C79" t="str">
        <f t="shared" si="2"/>
        <v>45-59</v>
      </c>
    </row>
    <row r="80" spans="1:15">
      <c r="A80">
        <v>54</v>
      </c>
      <c r="B80" t="s">
        <v>445</v>
      </c>
      <c r="C80" t="str">
        <f t="shared" si="2"/>
        <v>45-59</v>
      </c>
    </row>
    <row r="81" spans="1:12">
      <c r="A81">
        <v>19</v>
      </c>
      <c r="B81" t="s">
        <v>444</v>
      </c>
      <c r="C81" t="str">
        <f t="shared" si="2"/>
        <v>18-29</v>
      </c>
    </row>
    <row r="82" spans="1:12">
      <c r="A82">
        <v>27</v>
      </c>
      <c r="B82" t="s">
        <v>444</v>
      </c>
      <c r="C82" t="str">
        <f t="shared" si="2"/>
        <v>18-29</v>
      </c>
    </row>
    <row r="83" spans="1:12">
      <c r="A83">
        <v>41</v>
      </c>
      <c r="B83" t="s">
        <v>443</v>
      </c>
      <c r="C83" t="str">
        <f t="shared" si="2"/>
        <v>30-44</v>
      </c>
    </row>
    <row r="84" spans="1:12">
      <c r="A84">
        <v>58</v>
      </c>
      <c r="B84" t="s">
        <v>444</v>
      </c>
      <c r="C84" t="str">
        <f t="shared" si="2"/>
        <v>45-59</v>
      </c>
      <c r="H84" s="162"/>
      <c r="I84" s="162"/>
      <c r="J84" s="162"/>
      <c r="K84" s="162"/>
      <c r="L84" s="162"/>
    </row>
    <row r="85" spans="1:12">
      <c r="A85">
        <v>18</v>
      </c>
      <c r="B85" t="s">
        <v>444</v>
      </c>
      <c r="C85" t="str">
        <f t="shared" si="2"/>
        <v>18-29</v>
      </c>
    </row>
    <row r="86" spans="1:12">
      <c r="A86">
        <v>21</v>
      </c>
      <c r="B86" t="s">
        <v>444</v>
      </c>
      <c r="C86" t="str">
        <f t="shared" si="2"/>
        <v>18-29</v>
      </c>
    </row>
    <row r="87" spans="1:12">
      <c r="A87">
        <v>38</v>
      </c>
      <c r="B87" t="s">
        <v>444</v>
      </c>
      <c r="C87" t="str">
        <f t="shared" si="2"/>
        <v>30-44</v>
      </c>
    </row>
    <row r="88" spans="1:12">
      <c r="A88">
        <v>50</v>
      </c>
      <c r="B88" t="s">
        <v>444</v>
      </c>
      <c r="C88" t="str">
        <f t="shared" si="2"/>
        <v>45-59</v>
      </c>
    </row>
    <row r="89" spans="1:12">
      <c r="A89">
        <v>47</v>
      </c>
      <c r="B89" t="s">
        <v>443</v>
      </c>
      <c r="C89" t="str">
        <f t="shared" si="2"/>
        <v>45-59</v>
      </c>
    </row>
    <row r="90" spans="1:12">
      <c r="A90">
        <v>27</v>
      </c>
      <c r="B90" t="s">
        <v>444</v>
      </c>
      <c r="C90" t="str">
        <f t="shared" si="2"/>
        <v>18-29</v>
      </c>
    </row>
    <row r="91" spans="1:12">
      <c r="A91">
        <v>58</v>
      </c>
      <c r="B91" t="s">
        <v>444</v>
      </c>
      <c r="C91" t="str">
        <f t="shared" si="2"/>
        <v>45-59</v>
      </c>
    </row>
    <row r="92" spans="1:12">
      <c r="A92">
        <v>52</v>
      </c>
      <c r="B92" t="s">
        <v>443</v>
      </c>
      <c r="C92" t="str">
        <f t="shared" si="2"/>
        <v>45-59</v>
      </c>
    </row>
    <row r="93" spans="1:12">
      <c r="A93">
        <v>51</v>
      </c>
      <c r="B93" t="s">
        <v>445</v>
      </c>
      <c r="C93" t="str">
        <f t="shared" si="2"/>
        <v>45-59</v>
      </c>
    </row>
    <row r="94" spans="1:12">
      <c r="A94">
        <v>75</v>
      </c>
      <c r="B94" t="s">
        <v>444</v>
      </c>
      <c r="C94" t="str">
        <f t="shared" si="2"/>
        <v>60+</v>
      </c>
    </row>
    <row r="95" spans="1:12">
      <c r="A95">
        <v>45</v>
      </c>
      <c r="B95" t="s">
        <v>445</v>
      </c>
      <c r="C95" t="str">
        <f t="shared" si="2"/>
        <v>45-59</v>
      </c>
    </row>
    <row r="96" spans="1:12">
      <c r="A96">
        <v>74</v>
      </c>
      <c r="B96" t="s">
        <v>443</v>
      </c>
      <c r="C96" t="str">
        <f t="shared" si="2"/>
        <v>60+</v>
      </c>
    </row>
    <row r="97" spans="1:3">
      <c r="A97">
        <v>22</v>
      </c>
      <c r="B97" t="s">
        <v>445</v>
      </c>
      <c r="C97" t="str">
        <f t="shared" si="2"/>
        <v>18-29</v>
      </c>
    </row>
    <row r="98" spans="1:3">
      <c r="A98">
        <v>58</v>
      </c>
      <c r="B98" t="s">
        <v>445</v>
      </c>
      <c r="C98" t="str">
        <f t="shared" si="2"/>
        <v>45-59</v>
      </c>
    </row>
    <row r="99" spans="1:3">
      <c r="A99">
        <v>23</v>
      </c>
      <c r="B99" t="s">
        <v>443</v>
      </c>
      <c r="C99" t="str">
        <f t="shared" si="2"/>
        <v>18-29</v>
      </c>
    </row>
    <row r="100" spans="1:3">
      <c r="A100">
        <v>55</v>
      </c>
      <c r="B100" t="s">
        <v>444</v>
      </c>
      <c r="C100" t="str">
        <f t="shared" si="2"/>
        <v>45-59</v>
      </c>
    </row>
    <row r="101" spans="1:3">
      <c r="A101">
        <v>38</v>
      </c>
      <c r="B101" t="s">
        <v>445</v>
      </c>
      <c r="C101" t="str">
        <f t="shared" si="2"/>
        <v>30-44</v>
      </c>
    </row>
    <row r="102" spans="1:3">
      <c r="A102">
        <v>18</v>
      </c>
      <c r="B102" t="s">
        <v>443</v>
      </c>
      <c r="C102" t="str">
        <f t="shared" si="2"/>
        <v>18-29</v>
      </c>
    </row>
    <row r="103" spans="1:3">
      <c r="A103">
        <v>24</v>
      </c>
      <c r="B103" t="s">
        <v>443</v>
      </c>
      <c r="C103" t="str">
        <f t="shared" si="2"/>
        <v>18-29</v>
      </c>
    </row>
    <row r="104" spans="1:3">
      <c r="A104">
        <v>68</v>
      </c>
      <c r="B104" t="s">
        <v>444</v>
      </c>
      <c r="C104" t="str">
        <f t="shared" si="2"/>
        <v>60+</v>
      </c>
    </row>
    <row r="105" spans="1:3">
      <c r="A105">
        <v>51</v>
      </c>
      <c r="B105" t="s">
        <v>443</v>
      </c>
      <c r="C105" t="str">
        <f t="shared" si="2"/>
        <v>45-59</v>
      </c>
    </row>
    <row r="106" spans="1:3">
      <c r="A106">
        <v>49</v>
      </c>
      <c r="B106" t="s">
        <v>445</v>
      </c>
      <c r="C106" t="str">
        <f t="shared" si="2"/>
        <v>45-59</v>
      </c>
    </row>
    <row r="107" spans="1:3">
      <c r="A107">
        <v>56</v>
      </c>
      <c r="B107" t="s">
        <v>445</v>
      </c>
      <c r="C107" t="str">
        <f t="shared" si="2"/>
        <v>45-59</v>
      </c>
    </row>
    <row r="108" spans="1:3">
      <c r="A108">
        <v>57</v>
      </c>
      <c r="B108" t="s">
        <v>443</v>
      </c>
      <c r="C108" t="str">
        <f t="shared" si="2"/>
        <v>45-59</v>
      </c>
    </row>
    <row r="109" spans="1:3">
      <c r="A109">
        <v>50</v>
      </c>
      <c r="B109" t="s">
        <v>444</v>
      </c>
      <c r="C109" t="str">
        <f t="shared" si="2"/>
        <v>45-59</v>
      </c>
    </row>
    <row r="110" spans="1:3">
      <c r="A110">
        <v>51</v>
      </c>
      <c r="B110" t="s">
        <v>443</v>
      </c>
      <c r="C110" t="str">
        <f t="shared" si="2"/>
        <v>45-59</v>
      </c>
    </row>
    <row r="111" spans="1:3">
      <c r="A111">
        <v>19</v>
      </c>
      <c r="B111" t="s">
        <v>444</v>
      </c>
      <c r="C111" t="str">
        <f t="shared" si="2"/>
        <v>18-29</v>
      </c>
    </row>
    <row r="112" spans="1:3">
      <c r="A112">
        <v>63</v>
      </c>
      <c r="B112" t="s">
        <v>445</v>
      </c>
      <c r="C112" t="str">
        <f t="shared" si="2"/>
        <v>60+</v>
      </c>
    </row>
    <row r="113" spans="1:3">
      <c r="A113">
        <v>73</v>
      </c>
      <c r="B113" t="s">
        <v>443</v>
      </c>
      <c r="C113" t="str">
        <f t="shared" si="2"/>
        <v>60+</v>
      </c>
    </row>
    <row r="114" spans="1:3">
      <c r="A114">
        <v>49</v>
      </c>
      <c r="B114" t="s">
        <v>445</v>
      </c>
      <c r="C114" t="str">
        <f t="shared" si="2"/>
        <v>45-59</v>
      </c>
    </row>
    <row r="115" spans="1:3">
      <c r="A115">
        <v>18</v>
      </c>
      <c r="B115" t="s">
        <v>443</v>
      </c>
      <c r="C115" t="str">
        <f t="shared" si="2"/>
        <v>18-29</v>
      </c>
    </row>
    <row r="116" spans="1:3">
      <c r="A116">
        <v>27</v>
      </c>
      <c r="B116" t="s">
        <v>444</v>
      </c>
      <c r="C116" t="str">
        <f t="shared" si="2"/>
        <v>18-29</v>
      </c>
    </row>
    <row r="117" spans="1:3">
      <c r="A117">
        <v>63</v>
      </c>
      <c r="B117" t="s">
        <v>444</v>
      </c>
      <c r="C117" t="str">
        <f t="shared" si="2"/>
        <v>60+</v>
      </c>
    </row>
    <row r="118" spans="1:3">
      <c r="A118">
        <v>55</v>
      </c>
      <c r="B118" t="s">
        <v>444</v>
      </c>
      <c r="C118" t="str">
        <f t="shared" si="2"/>
        <v>45-59</v>
      </c>
    </row>
    <row r="119" spans="1:3">
      <c r="A119">
        <v>36</v>
      </c>
      <c r="B119" t="s">
        <v>444</v>
      </c>
      <c r="C119" t="str">
        <f t="shared" si="2"/>
        <v>30-44</v>
      </c>
    </row>
    <row r="120" spans="1:3">
      <c r="A120">
        <v>19</v>
      </c>
      <c r="B120" t="s">
        <v>445</v>
      </c>
      <c r="C120" t="str">
        <f t="shared" si="2"/>
        <v>18-29</v>
      </c>
    </row>
    <row r="121" spans="1:3">
      <c r="A121">
        <v>58</v>
      </c>
      <c r="B121" t="s">
        <v>445</v>
      </c>
      <c r="C121" t="str">
        <f t="shared" si="2"/>
        <v>45-59</v>
      </c>
    </row>
    <row r="122" spans="1:3">
      <c r="A122">
        <v>69</v>
      </c>
      <c r="B122" t="s">
        <v>444</v>
      </c>
      <c r="C122" t="str">
        <f t="shared" si="2"/>
        <v>60+</v>
      </c>
    </row>
    <row r="123" spans="1:3">
      <c r="A123">
        <v>40</v>
      </c>
      <c r="B123" t="s">
        <v>444</v>
      </c>
      <c r="C123" t="str">
        <f t="shared" si="2"/>
        <v>30-44</v>
      </c>
    </row>
    <row r="124" spans="1:3">
      <c r="A124">
        <v>37</v>
      </c>
      <c r="B124" t="s">
        <v>444</v>
      </c>
      <c r="C124" t="str">
        <f t="shared" si="2"/>
        <v>30-44</v>
      </c>
    </row>
    <row r="125" spans="1:3">
      <c r="A125">
        <v>69</v>
      </c>
      <c r="B125" t="s">
        <v>444</v>
      </c>
      <c r="C125" t="str">
        <f t="shared" si="2"/>
        <v>60+</v>
      </c>
    </row>
    <row r="126" spans="1:3">
      <c r="A126">
        <v>29</v>
      </c>
      <c r="B126" t="s">
        <v>444</v>
      </c>
      <c r="C126" t="str">
        <f t="shared" si="2"/>
        <v>18-29</v>
      </c>
    </row>
    <row r="127" spans="1:3">
      <c r="A127">
        <v>73</v>
      </c>
      <c r="B127" t="s">
        <v>444</v>
      </c>
      <c r="C127" t="str">
        <f t="shared" si="2"/>
        <v>60+</v>
      </c>
    </row>
    <row r="128" spans="1:3">
      <c r="A128">
        <v>46</v>
      </c>
      <c r="B128" t="s">
        <v>444</v>
      </c>
      <c r="C128" t="str">
        <f t="shared" si="2"/>
        <v>45-59</v>
      </c>
    </row>
    <row r="129" spans="1:3">
      <c r="A129">
        <v>37</v>
      </c>
      <c r="B129" t="s">
        <v>445</v>
      </c>
      <c r="C129" t="str">
        <f t="shared" si="2"/>
        <v>30-44</v>
      </c>
    </row>
    <row r="130" spans="1:3">
      <c r="A130">
        <v>64</v>
      </c>
      <c r="B130" t="s">
        <v>443</v>
      </c>
      <c r="C130" t="str">
        <f t="shared" si="2"/>
        <v>60+</v>
      </c>
    </row>
    <row r="131" spans="1:3">
      <c r="A131">
        <v>72</v>
      </c>
      <c r="B131" t="s">
        <v>445</v>
      </c>
      <c r="C131" t="str">
        <f t="shared" ref="C131:C194" si="3">IF(A131&lt;30,"18-29",IF(A131&lt;45,"30-44",IF(A131&lt;60,"45-59","60+")))</f>
        <v>60+</v>
      </c>
    </row>
    <row r="132" spans="1:3">
      <c r="A132">
        <v>24</v>
      </c>
      <c r="B132" t="s">
        <v>444</v>
      </c>
      <c r="C132" t="str">
        <f t="shared" si="3"/>
        <v>18-29</v>
      </c>
    </row>
    <row r="133" spans="1:3">
      <c r="A133">
        <v>40</v>
      </c>
      <c r="B133" t="s">
        <v>444</v>
      </c>
      <c r="C133" t="str">
        <f t="shared" si="3"/>
        <v>30-44</v>
      </c>
    </row>
    <row r="134" spans="1:3">
      <c r="A134">
        <v>33</v>
      </c>
      <c r="B134" t="s">
        <v>444</v>
      </c>
      <c r="C134" t="str">
        <f t="shared" si="3"/>
        <v>30-44</v>
      </c>
    </row>
    <row r="135" spans="1:3">
      <c r="A135">
        <v>27</v>
      </c>
      <c r="B135" t="s">
        <v>443</v>
      </c>
      <c r="C135" t="str">
        <f t="shared" si="3"/>
        <v>18-29</v>
      </c>
    </row>
    <row r="136" spans="1:3">
      <c r="A136">
        <v>55</v>
      </c>
      <c r="B136" t="s">
        <v>445</v>
      </c>
      <c r="C136" t="str">
        <f t="shared" si="3"/>
        <v>45-59</v>
      </c>
    </row>
    <row r="137" spans="1:3">
      <c r="A137">
        <v>68</v>
      </c>
      <c r="B137" t="s">
        <v>444</v>
      </c>
      <c r="C137" t="str">
        <f t="shared" si="3"/>
        <v>60+</v>
      </c>
    </row>
    <row r="138" spans="1:3">
      <c r="A138">
        <v>71</v>
      </c>
      <c r="B138" t="s">
        <v>444</v>
      </c>
      <c r="C138" t="str">
        <f t="shared" si="3"/>
        <v>60+</v>
      </c>
    </row>
    <row r="139" spans="1:3">
      <c r="A139">
        <v>47</v>
      </c>
      <c r="B139" t="s">
        <v>444</v>
      </c>
      <c r="C139" t="str">
        <f t="shared" si="3"/>
        <v>45-59</v>
      </c>
    </row>
    <row r="140" spans="1:3">
      <c r="A140">
        <v>48</v>
      </c>
      <c r="B140" t="s">
        <v>444</v>
      </c>
      <c r="C140" t="str">
        <f t="shared" si="3"/>
        <v>45-59</v>
      </c>
    </row>
    <row r="141" spans="1:3">
      <c r="A141">
        <v>62</v>
      </c>
      <c r="B141" t="s">
        <v>444</v>
      </c>
      <c r="C141" t="str">
        <f t="shared" si="3"/>
        <v>60+</v>
      </c>
    </row>
    <row r="142" spans="1:3">
      <c r="A142">
        <v>55</v>
      </c>
      <c r="B142" t="s">
        <v>443</v>
      </c>
      <c r="C142" t="str">
        <f t="shared" si="3"/>
        <v>45-59</v>
      </c>
    </row>
    <row r="143" spans="1:3">
      <c r="A143">
        <v>25</v>
      </c>
      <c r="B143" t="s">
        <v>444</v>
      </c>
      <c r="C143" t="str">
        <f t="shared" si="3"/>
        <v>18-29</v>
      </c>
    </row>
    <row r="144" spans="1:3">
      <c r="A144">
        <v>70</v>
      </c>
      <c r="B144" t="s">
        <v>445</v>
      </c>
      <c r="C144" t="str">
        <f t="shared" si="3"/>
        <v>60+</v>
      </c>
    </row>
    <row r="145" spans="1:3">
      <c r="A145">
        <v>34</v>
      </c>
      <c r="B145" t="s">
        <v>443</v>
      </c>
      <c r="C145" t="str">
        <f t="shared" si="3"/>
        <v>30-44</v>
      </c>
    </row>
    <row r="146" spans="1:3">
      <c r="A146">
        <v>35</v>
      </c>
      <c r="B146" t="s">
        <v>444</v>
      </c>
      <c r="C146" t="str">
        <f t="shared" si="3"/>
        <v>30-44</v>
      </c>
    </row>
    <row r="147" spans="1:3">
      <c r="A147">
        <v>22</v>
      </c>
      <c r="B147" t="s">
        <v>444</v>
      </c>
      <c r="C147" t="str">
        <f t="shared" si="3"/>
        <v>18-29</v>
      </c>
    </row>
    <row r="148" spans="1:3">
      <c r="A148">
        <v>61</v>
      </c>
      <c r="B148" t="s">
        <v>445</v>
      </c>
      <c r="C148" t="str">
        <f t="shared" si="3"/>
        <v>60+</v>
      </c>
    </row>
    <row r="149" spans="1:3">
      <c r="A149">
        <v>70</v>
      </c>
      <c r="B149" t="s">
        <v>444</v>
      </c>
      <c r="C149" t="str">
        <f t="shared" si="3"/>
        <v>60+</v>
      </c>
    </row>
    <row r="150" spans="1:3">
      <c r="A150">
        <v>35</v>
      </c>
      <c r="B150" t="s">
        <v>444</v>
      </c>
      <c r="C150" t="str">
        <f t="shared" si="3"/>
        <v>30-44</v>
      </c>
    </row>
    <row r="151" spans="1:3">
      <c r="A151">
        <v>44</v>
      </c>
      <c r="B151" t="s">
        <v>444</v>
      </c>
      <c r="C151" t="str">
        <f t="shared" si="3"/>
        <v>30-44</v>
      </c>
    </row>
    <row r="152" spans="1:3">
      <c r="A152">
        <v>57</v>
      </c>
      <c r="B152" t="s">
        <v>444</v>
      </c>
      <c r="C152" t="str">
        <f t="shared" si="3"/>
        <v>45-59</v>
      </c>
    </row>
    <row r="153" spans="1:3">
      <c r="A153">
        <v>58</v>
      </c>
      <c r="B153" t="s">
        <v>443</v>
      </c>
      <c r="C153" t="str">
        <f t="shared" si="3"/>
        <v>45-59</v>
      </c>
    </row>
    <row r="154" spans="1:3">
      <c r="A154">
        <v>34</v>
      </c>
      <c r="B154" t="s">
        <v>443</v>
      </c>
      <c r="C154" t="str">
        <f t="shared" si="3"/>
        <v>30-44</v>
      </c>
    </row>
    <row r="155" spans="1:3">
      <c r="A155">
        <v>34</v>
      </c>
      <c r="B155" t="s">
        <v>444</v>
      </c>
      <c r="C155" t="str">
        <f t="shared" si="3"/>
        <v>30-44</v>
      </c>
    </row>
    <row r="156" spans="1:3">
      <c r="A156">
        <v>40</v>
      </c>
      <c r="B156" t="s">
        <v>444</v>
      </c>
      <c r="C156" t="str">
        <f t="shared" si="3"/>
        <v>30-44</v>
      </c>
    </row>
    <row r="157" spans="1:3">
      <c r="A157">
        <v>40</v>
      </c>
      <c r="B157" t="s">
        <v>443</v>
      </c>
      <c r="C157" t="str">
        <f t="shared" si="3"/>
        <v>30-44</v>
      </c>
    </row>
    <row r="158" spans="1:3">
      <c r="A158">
        <v>62</v>
      </c>
      <c r="B158" t="s">
        <v>443</v>
      </c>
      <c r="C158" t="str">
        <f t="shared" si="3"/>
        <v>60+</v>
      </c>
    </row>
    <row r="159" spans="1:3">
      <c r="A159">
        <v>25</v>
      </c>
      <c r="B159" t="s">
        <v>444</v>
      </c>
      <c r="C159" t="str">
        <f t="shared" si="3"/>
        <v>18-29</v>
      </c>
    </row>
    <row r="160" spans="1:3">
      <c r="A160">
        <v>51</v>
      </c>
      <c r="B160" t="s">
        <v>445</v>
      </c>
      <c r="C160" t="str">
        <f t="shared" si="3"/>
        <v>45-59</v>
      </c>
    </row>
    <row r="161" spans="1:3">
      <c r="A161">
        <v>21</v>
      </c>
      <c r="B161" t="s">
        <v>443</v>
      </c>
      <c r="C161" t="str">
        <f t="shared" si="3"/>
        <v>18-29</v>
      </c>
    </row>
    <row r="162" spans="1:3">
      <c r="A162">
        <v>24</v>
      </c>
      <c r="B162" t="s">
        <v>444</v>
      </c>
      <c r="C162" t="str">
        <f t="shared" si="3"/>
        <v>18-29</v>
      </c>
    </row>
    <row r="163" spans="1:3">
      <c r="A163">
        <v>31</v>
      </c>
      <c r="B163" t="s">
        <v>445</v>
      </c>
      <c r="C163" t="str">
        <f t="shared" si="3"/>
        <v>30-44</v>
      </c>
    </row>
    <row r="164" spans="1:3">
      <c r="A164">
        <v>73</v>
      </c>
      <c r="B164" t="s">
        <v>445</v>
      </c>
      <c r="C164" t="str">
        <f t="shared" si="3"/>
        <v>60+</v>
      </c>
    </row>
    <row r="165" spans="1:3">
      <c r="A165">
        <v>66</v>
      </c>
      <c r="B165" t="s">
        <v>443</v>
      </c>
      <c r="C165" t="str">
        <f t="shared" si="3"/>
        <v>60+</v>
      </c>
    </row>
    <row r="166" spans="1:3">
      <c r="A166">
        <v>60</v>
      </c>
      <c r="B166" t="s">
        <v>443</v>
      </c>
      <c r="C166" t="str">
        <f t="shared" si="3"/>
        <v>60+</v>
      </c>
    </row>
    <row r="167" spans="1:3">
      <c r="A167">
        <v>48</v>
      </c>
      <c r="B167" t="s">
        <v>444</v>
      </c>
      <c r="C167" t="str">
        <f t="shared" si="3"/>
        <v>45-59</v>
      </c>
    </row>
    <row r="168" spans="1:3">
      <c r="A168">
        <v>75</v>
      </c>
      <c r="B168" t="s">
        <v>444</v>
      </c>
      <c r="C168" t="str">
        <f t="shared" si="3"/>
        <v>60+</v>
      </c>
    </row>
    <row r="169" spans="1:3">
      <c r="A169">
        <v>45</v>
      </c>
      <c r="B169" t="s">
        <v>443</v>
      </c>
      <c r="C169" t="str">
        <f t="shared" si="3"/>
        <v>45-59</v>
      </c>
    </row>
    <row r="170" spans="1:3">
      <c r="A170">
        <v>58</v>
      </c>
      <c r="B170" t="s">
        <v>444</v>
      </c>
      <c r="C170" t="str">
        <f t="shared" si="3"/>
        <v>45-59</v>
      </c>
    </row>
    <row r="171" spans="1:3">
      <c r="A171">
        <v>56</v>
      </c>
      <c r="B171" t="s">
        <v>443</v>
      </c>
      <c r="C171" t="str">
        <f t="shared" si="3"/>
        <v>45-59</v>
      </c>
    </row>
    <row r="172" spans="1:3">
      <c r="A172">
        <v>37</v>
      </c>
      <c r="B172" t="s">
        <v>443</v>
      </c>
      <c r="C172" t="str">
        <f t="shared" si="3"/>
        <v>30-44</v>
      </c>
    </row>
    <row r="173" spans="1:3">
      <c r="A173">
        <v>69</v>
      </c>
      <c r="B173" t="s">
        <v>444</v>
      </c>
      <c r="C173" t="str">
        <f t="shared" si="3"/>
        <v>60+</v>
      </c>
    </row>
    <row r="174" spans="1:3">
      <c r="A174">
        <v>52</v>
      </c>
      <c r="B174" t="s">
        <v>444</v>
      </c>
      <c r="C174" t="str">
        <f t="shared" si="3"/>
        <v>45-59</v>
      </c>
    </row>
    <row r="175" spans="1:3">
      <c r="A175">
        <v>56</v>
      </c>
      <c r="B175" t="s">
        <v>445</v>
      </c>
      <c r="C175" t="str">
        <f t="shared" si="3"/>
        <v>45-59</v>
      </c>
    </row>
    <row r="176" spans="1:3">
      <c r="A176">
        <v>75</v>
      </c>
      <c r="B176" t="s">
        <v>443</v>
      </c>
      <c r="C176" t="str">
        <f t="shared" si="3"/>
        <v>60+</v>
      </c>
    </row>
    <row r="177" spans="1:3">
      <c r="A177">
        <v>57</v>
      </c>
      <c r="B177" t="s">
        <v>443</v>
      </c>
      <c r="C177" t="str">
        <f t="shared" si="3"/>
        <v>45-59</v>
      </c>
    </row>
    <row r="178" spans="1:3">
      <c r="A178">
        <v>61</v>
      </c>
      <c r="B178" t="s">
        <v>445</v>
      </c>
      <c r="C178" t="str">
        <f t="shared" si="3"/>
        <v>60+</v>
      </c>
    </row>
    <row r="179" spans="1:3">
      <c r="A179">
        <v>75</v>
      </c>
      <c r="B179" t="s">
        <v>444</v>
      </c>
      <c r="C179" t="str">
        <f t="shared" si="3"/>
        <v>60+</v>
      </c>
    </row>
    <row r="180" spans="1:3">
      <c r="A180">
        <v>69</v>
      </c>
      <c r="B180" t="s">
        <v>443</v>
      </c>
      <c r="C180" t="str">
        <f t="shared" si="3"/>
        <v>60+</v>
      </c>
    </row>
    <row r="181" spans="1:3">
      <c r="A181">
        <v>34</v>
      </c>
      <c r="B181" t="s">
        <v>445</v>
      </c>
      <c r="C181" t="str">
        <f t="shared" si="3"/>
        <v>30-44</v>
      </c>
    </row>
    <row r="182" spans="1:3">
      <c r="A182">
        <v>20</v>
      </c>
      <c r="B182" t="s">
        <v>443</v>
      </c>
      <c r="C182" t="str">
        <f t="shared" si="3"/>
        <v>18-29</v>
      </c>
    </row>
    <row r="183" spans="1:3">
      <c r="A183">
        <v>19</v>
      </c>
      <c r="B183" t="s">
        <v>445</v>
      </c>
      <c r="C183" t="str">
        <f t="shared" si="3"/>
        <v>18-29</v>
      </c>
    </row>
    <row r="184" spans="1:3">
      <c r="A184">
        <v>71</v>
      </c>
      <c r="B184" t="s">
        <v>444</v>
      </c>
      <c r="C184" t="str">
        <f t="shared" si="3"/>
        <v>60+</v>
      </c>
    </row>
    <row r="185" spans="1:3">
      <c r="A185">
        <v>37</v>
      </c>
      <c r="B185" t="s">
        <v>444</v>
      </c>
      <c r="C185" t="str">
        <f t="shared" si="3"/>
        <v>30-44</v>
      </c>
    </row>
    <row r="186" spans="1:3">
      <c r="A186">
        <v>31</v>
      </c>
      <c r="B186" t="s">
        <v>444</v>
      </c>
      <c r="C186" t="str">
        <f t="shared" si="3"/>
        <v>30-44</v>
      </c>
    </row>
    <row r="187" spans="1:3">
      <c r="A187">
        <v>63</v>
      </c>
      <c r="B187" t="s">
        <v>443</v>
      </c>
      <c r="C187" t="str">
        <f t="shared" si="3"/>
        <v>60+</v>
      </c>
    </row>
    <row r="188" spans="1:3">
      <c r="A188">
        <v>32</v>
      </c>
      <c r="B188" t="s">
        <v>445</v>
      </c>
      <c r="C188" t="str">
        <f t="shared" si="3"/>
        <v>30-44</v>
      </c>
    </row>
    <row r="189" spans="1:3">
      <c r="A189">
        <v>72</v>
      </c>
      <c r="B189" t="s">
        <v>444</v>
      </c>
      <c r="C189" t="str">
        <f t="shared" si="3"/>
        <v>60+</v>
      </c>
    </row>
    <row r="190" spans="1:3">
      <c r="A190">
        <v>71</v>
      </c>
      <c r="B190" t="s">
        <v>443</v>
      </c>
      <c r="C190" t="str">
        <f t="shared" si="3"/>
        <v>60+</v>
      </c>
    </row>
    <row r="191" spans="1:3">
      <c r="A191">
        <v>28</v>
      </c>
      <c r="B191" t="s">
        <v>443</v>
      </c>
      <c r="C191" t="str">
        <f t="shared" si="3"/>
        <v>18-29</v>
      </c>
    </row>
    <row r="192" spans="1:3">
      <c r="A192">
        <v>58</v>
      </c>
      <c r="B192" t="s">
        <v>444</v>
      </c>
      <c r="C192" t="str">
        <f t="shared" si="3"/>
        <v>45-59</v>
      </c>
    </row>
    <row r="193" spans="1:3">
      <c r="A193">
        <v>28</v>
      </c>
      <c r="B193" t="s">
        <v>444</v>
      </c>
      <c r="C193" t="str">
        <f t="shared" si="3"/>
        <v>18-29</v>
      </c>
    </row>
    <row r="194" spans="1:3">
      <c r="A194">
        <v>63</v>
      </c>
      <c r="B194" t="s">
        <v>444</v>
      </c>
      <c r="C194" t="str">
        <f t="shared" si="3"/>
        <v>60+</v>
      </c>
    </row>
    <row r="195" spans="1:3">
      <c r="A195">
        <v>51</v>
      </c>
      <c r="B195" t="s">
        <v>445</v>
      </c>
      <c r="C195" t="str">
        <f t="shared" ref="C195:C258" si="4">IF(A195&lt;30,"18-29",IF(A195&lt;45,"30-44",IF(A195&lt;60,"45-59","60+")))</f>
        <v>45-59</v>
      </c>
    </row>
    <row r="196" spans="1:3">
      <c r="A196">
        <v>75</v>
      </c>
      <c r="B196" t="s">
        <v>443</v>
      </c>
      <c r="C196" t="str">
        <f t="shared" si="4"/>
        <v>60+</v>
      </c>
    </row>
    <row r="197" spans="1:3">
      <c r="A197">
        <v>69</v>
      </c>
      <c r="B197" t="s">
        <v>444</v>
      </c>
      <c r="C197" t="str">
        <f t="shared" si="4"/>
        <v>60+</v>
      </c>
    </row>
    <row r="198" spans="1:3">
      <c r="A198">
        <v>45</v>
      </c>
      <c r="B198" t="s">
        <v>444</v>
      </c>
      <c r="C198" t="str">
        <f t="shared" si="4"/>
        <v>45-59</v>
      </c>
    </row>
    <row r="199" spans="1:3">
      <c r="A199">
        <v>50</v>
      </c>
      <c r="B199" t="s">
        <v>444</v>
      </c>
      <c r="C199" t="str">
        <f t="shared" si="4"/>
        <v>45-59</v>
      </c>
    </row>
    <row r="200" spans="1:3">
      <c r="A200">
        <v>33</v>
      </c>
      <c r="B200" t="s">
        <v>443</v>
      </c>
      <c r="C200" t="str">
        <f t="shared" si="4"/>
        <v>30-44</v>
      </c>
    </row>
    <row r="201" spans="1:3">
      <c r="A201">
        <v>55</v>
      </c>
      <c r="B201" t="s">
        <v>443</v>
      </c>
      <c r="C201" t="str">
        <f t="shared" si="4"/>
        <v>45-59</v>
      </c>
    </row>
    <row r="202" spans="1:3">
      <c r="A202">
        <v>23</v>
      </c>
      <c r="B202" t="s">
        <v>443</v>
      </c>
      <c r="C202" t="str">
        <f t="shared" si="4"/>
        <v>18-29</v>
      </c>
    </row>
    <row r="203" spans="1:3">
      <c r="A203">
        <v>32</v>
      </c>
      <c r="B203" t="s">
        <v>445</v>
      </c>
      <c r="C203" t="str">
        <f t="shared" si="4"/>
        <v>30-44</v>
      </c>
    </row>
    <row r="204" spans="1:3">
      <c r="A204">
        <v>36</v>
      </c>
      <c r="B204" t="s">
        <v>443</v>
      </c>
      <c r="C204" t="str">
        <f t="shared" si="4"/>
        <v>30-44</v>
      </c>
    </row>
    <row r="205" spans="1:3">
      <c r="A205">
        <v>67</v>
      </c>
      <c r="B205" t="s">
        <v>443</v>
      </c>
      <c r="C205" t="str">
        <f t="shared" si="4"/>
        <v>60+</v>
      </c>
    </row>
    <row r="206" spans="1:3">
      <c r="A206">
        <v>27</v>
      </c>
      <c r="B206" t="s">
        <v>443</v>
      </c>
      <c r="C206" t="str">
        <f t="shared" si="4"/>
        <v>18-29</v>
      </c>
    </row>
    <row r="207" spans="1:3">
      <c r="A207">
        <v>53</v>
      </c>
      <c r="B207" t="s">
        <v>444</v>
      </c>
      <c r="C207" t="str">
        <f t="shared" si="4"/>
        <v>45-59</v>
      </c>
    </row>
    <row r="208" spans="1:3">
      <c r="A208">
        <v>20</v>
      </c>
      <c r="B208" t="s">
        <v>443</v>
      </c>
      <c r="C208" t="str">
        <f t="shared" si="4"/>
        <v>18-29</v>
      </c>
    </row>
    <row r="209" spans="1:5">
      <c r="A209">
        <v>71</v>
      </c>
      <c r="B209" t="s">
        <v>444</v>
      </c>
      <c r="C209" t="str">
        <f t="shared" si="4"/>
        <v>60+</v>
      </c>
      <c r="D209" s="187"/>
      <c r="E209" s="187"/>
    </row>
    <row r="210" spans="1:5">
      <c r="A210">
        <v>58</v>
      </c>
      <c r="B210" t="s">
        <v>444</v>
      </c>
      <c r="C210" t="str">
        <f t="shared" si="4"/>
        <v>45-59</v>
      </c>
    </row>
    <row r="211" spans="1:5">
      <c r="A211">
        <v>55</v>
      </c>
      <c r="B211" t="s">
        <v>444</v>
      </c>
      <c r="C211" t="str">
        <f t="shared" si="4"/>
        <v>45-59</v>
      </c>
    </row>
    <row r="212" spans="1:5">
      <c r="A212">
        <v>51</v>
      </c>
      <c r="B212" t="s">
        <v>444</v>
      </c>
      <c r="C212" t="str">
        <f t="shared" si="4"/>
        <v>45-59</v>
      </c>
    </row>
    <row r="213" spans="1:5">
      <c r="A213">
        <v>49</v>
      </c>
      <c r="B213" t="s">
        <v>444</v>
      </c>
      <c r="C213" t="str">
        <f t="shared" si="4"/>
        <v>45-59</v>
      </c>
    </row>
    <row r="214" spans="1:5">
      <c r="A214">
        <v>43</v>
      </c>
      <c r="B214" t="s">
        <v>444</v>
      </c>
      <c r="C214" t="str">
        <f t="shared" si="4"/>
        <v>30-44</v>
      </c>
    </row>
    <row r="215" spans="1:5">
      <c r="A215">
        <v>20</v>
      </c>
      <c r="B215" t="s">
        <v>444</v>
      </c>
      <c r="C215" t="str">
        <f t="shared" si="4"/>
        <v>18-29</v>
      </c>
    </row>
    <row r="216" spans="1:5">
      <c r="A216">
        <v>18</v>
      </c>
      <c r="B216" t="s">
        <v>444</v>
      </c>
      <c r="C216" t="str">
        <f t="shared" si="4"/>
        <v>18-29</v>
      </c>
    </row>
    <row r="217" spans="1:5">
      <c r="A217">
        <v>48</v>
      </c>
      <c r="B217" t="s">
        <v>444</v>
      </c>
      <c r="C217" t="str">
        <f t="shared" si="4"/>
        <v>45-59</v>
      </c>
    </row>
    <row r="218" spans="1:5">
      <c r="A218">
        <v>63</v>
      </c>
      <c r="B218" t="s">
        <v>444</v>
      </c>
      <c r="C218" t="str">
        <f t="shared" si="4"/>
        <v>60+</v>
      </c>
    </row>
    <row r="219" spans="1:5">
      <c r="A219">
        <v>36</v>
      </c>
      <c r="B219" t="s">
        <v>443</v>
      </c>
      <c r="C219" t="str">
        <f t="shared" si="4"/>
        <v>30-44</v>
      </c>
    </row>
    <row r="220" spans="1:5">
      <c r="A220">
        <v>31</v>
      </c>
      <c r="B220" t="s">
        <v>444</v>
      </c>
      <c r="C220" t="str">
        <f t="shared" si="4"/>
        <v>30-44</v>
      </c>
    </row>
    <row r="221" spans="1:5">
      <c r="A221">
        <v>53</v>
      </c>
      <c r="B221" t="s">
        <v>444</v>
      </c>
      <c r="C221" t="str">
        <f t="shared" si="4"/>
        <v>45-59</v>
      </c>
    </row>
    <row r="222" spans="1:5">
      <c r="A222">
        <v>58</v>
      </c>
      <c r="B222" t="s">
        <v>444</v>
      </c>
      <c r="C222" t="str">
        <f t="shared" si="4"/>
        <v>45-59</v>
      </c>
    </row>
    <row r="223" spans="1:5">
      <c r="A223">
        <v>70</v>
      </c>
      <c r="B223" t="s">
        <v>444</v>
      </c>
      <c r="C223" t="str">
        <f t="shared" si="4"/>
        <v>60+</v>
      </c>
    </row>
    <row r="224" spans="1:5">
      <c r="A224">
        <v>70</v>
      </c>
      <c r="B224" t="s">
        <v>445</v>
      </c>
      <c r="C224" t="str">
        <f t="shared" si="4"/>
        <v>60+</v>
      </c>
    </row>
    <row r="225" spans="1:3">
      <c r="A225">
        <v>29</v>
      </c>
      <c r="B225" t="s">
        <v>444</v>
      </c>
      <c r="C225" t="str">
        <f t="shared" si="4"/>
        <v>18-29</v>
      </c>
    </row>
    <row r="226" spans="1:3">
      <c r="A226">
        <v>54</v>
      </c>
      <c r="B226" t="s">
        <v>445</v>
      </c>
      <c r="C226" t="str">
        <f t="shared" si="4"/>
        <v>45-59</v>
      </c>
    </row>
    <row r="227" spans="1:3">
      <c r="A227">
        <v>33</v>
      </c>
      <c r="B227" t="s">
        <v>444</v>
      </c>
      <c r="C227" t="str">
        <f t="shared" si="4"/>
        <v>30-44</v>
      </c>
    </row>
    <row r="228" spans="1:3">
      <c r="A228">
        <v>27</v>
      </c>
      <c r="B228" t="s">
        <v>444</v>
      </c>
      <c r="C228" t="str">
        <f t="shared" si="4"/>
        <v>18-29</v>
      </c>
    </row>
    <row r="229" spans="1:3">
      <c r="A229">
        <v>65</v>
      </c>
      <c r="B229" t="s">
        <v>443</v>
      </c>
      <c r="C229" t="str">
        <f t="shared" si="4"/>
        <v>60+</v>
      </c>
    </row>
    <row r="230" spans="1:3">
      <c r="A230">
        <v>61</v>
      </c>
      <c r="B230" t="s">
        <v>443</v>
      </c>
      <c r="C230" t="str">
        <f t="shared" si="4"/>
        <v>60+</v>
      </c>
    </row>
    <row r="231" spans="1:3">
      <c r="A231">
        <v>65</v>
      </c>
      <c r="B231" t="s">
        <v>443</v>
      </c>
      <c r="C231" t="str">
        <f t="shared" si="4"/>
        <v>60+</v>
      </c>
    </row>
    <row r="232" spans="1:3">
      <c r="A232">
        <v>31</v>
      </c>
      <c r="B232" t="s">
        <v>444</v>
      </c>
      <c r="C232" t="str">
        <f t="shared" si="4"/>
        <v>30-44</v>
      </c>
    </row>
    <row r="233" spans="1:3">
      <c r="A233">
        <v>65</v>
      </c>
      <c r="B233" t="s">
        <v>444</v>
      </c>
      <c r="C233" t="str">
        <f t="shared" si="4"/>
        <v>60+</v>
      </c>
    </row>
    <row r="234" spans="1:3">
      <c r="A234">
        <v>70</v>
      </c>
      <c r="B234" t="s">
        <v>444</v>
      </c>
      <c r="C234" t="str">
        <f t="shared" si="4"/>
        <v>60+</v>
      </c>
    </row>
    <row r="235" spans="1:3">
      <c r="A235">
        <v>62</v>
      </c>
      <c r="B235" t="s">
        <v>444</v>
      </c>
      <c r="C235" t="str">
        <f t="shared" si="4"/>
        <v>60+</v>
      </c>
    </row>
    <row r="236" spans="1:3">
      <c r="A236">
        <v>44</v>
      </c>
      <c r="B236" t="s">
        <v>443</v>
      </c>
      <c r="C236" t="str">
        <f t="shared" si="4"/>
        <v>30-44</v>
      </c>
    </row>
    <row r="237" spans="1:3">
      <c r="A237">
        <v>22</v>
      </c>
      <c r="B237" t="s">
        <v>443</v>
      </c>
      <c r="C237" t="str">
        <f t="shared" si="4"/>
        <v>18-29</v>
      </c>
    </row>
    <row r="238" spans="1:3">
      <c r="A238">
        <v>40</v>
      </c>
      <c r="B238" t="s">
        <v>444</v>
      </c>
      <c r="C238" t="str">
        <f t="shared" si="4"/>
        <v>30-44</v>
      </c>
    </row>
    <row r="239" spans="1:3">
      <c r="A239">
        <v>23</v>
      </c>
      <c r="B239" t="s">
        <v>444</v>
      </c>
      <c r="C239" t="str">
        <f t="shared" si="4"/>
        <v>18-29</v>
      </c>
    </row>
    <row r="240" spans="1:3">
      <c r="A240">
        <v>67</v>
      </c>
      <c r="B240" t="s">
        <v>444</v>
      </c>
      <c r="C240" t="str">
        <f t="shared" si="4"/>
        <v>60+</v>
      </c>
    </row>
    <row r="241" spans="1:3">
      <c r="A241">
        <v>71</v>
      </c>
      <c r="B241" t="s">
        <v>444</v>
      </c>
      <c r="C241" t="str">
        <f t="shared" si="4"/>
        <v>60+</v>
      </c>
    </row>
    <row r="242" spans="1:3">
      <c r="A242">
        <v>46</v>
      </c>
      <c r="B242" t="s">
        <v>443</v>
      </c>
      <c r="C242" t="str">
        <f t="shared" si="4"/>
        <v>45-59</v>
      </c>
    </row>
    <row r="243" spans="1:3">
      <c r="A243">
        <v>68</v>
      </c>
      <c r="B243" t="s">
        <v>444</v>
      </c>
      <c r="C243" t="str">
        <f t="shared" si="4"/>
        <v>60+</v>
      </c>
    </row>
    <row r="244" spans="1:3">
      <c r="A244">
        <v>54</v>
      </c>
      <c r="B244" t="s">
        <v>444</v>
      </c>
      <c r="C244" t="str">
        <f t="shared" si="4"/>
        <v>45-59</v>
      </c>
    </row>
    <row r="245" spans="1:3">
      <c r="A245">
        <v>20</v>
      </c>
      <c r="B245" t="s">
        <v>445</v>
      </c>
      <c r="C245" t="str">
        <f t="shared" si="4"/>
        <v>18-29</v>
      </c>
    </row>
    <row r="246" spans="1:3">
      <c r="A246">
        <v>28</v>
      </c>
      <c r="B246" t="s">
        <v>444</v>
      </c>
      <c r="C246" t="str">
        <f t="shared" si="4"/>
        <v>18-29</v>
      </c>
    </row>
    <row r="247" spans="1:3">
      <c r="A247">
        <v>57</v>
      </c>
      <c r="B247" t="s">
        <v>444</v>
      </c>
      <c r="C247" t="str">
        <f t="shared" si="4"/>
        <v>45-59</v>
      </c>
    </row>
    <row r="248" spans="1:3">
      <c r="A248">
        <v>58</v>
      </c>
      <c r="B248" t="s">
        <v>444</v>
      </c>
      <c r="C248" t="str">
        <f t="shared" si="4"/>
        <v>45-59</v>
      </c>
    </row>
    <row r="249" spans="1:3">
      <c r="A249">
        <v>47</v>
      </c>
      <c r="B249" t="s">
        <v>444</v>
      </c>
      <c r="C249" t="str">
        <f t="shared" si="4"/>
        <v>45-59</v>
      </c>
    </row>
    <row r="250" spans="1:3">
      <c r="A250">
        <v>19</v>
      </c>
      <c r="B250" t="s">
        <v>444</v>
      </c>
      <c r="C250" t="str">
        <f t="shared" si="4"/>
        <v>18-29</v>
      </c>
    </row>
    <row r="251" spans="1:3">
      <c r="A251">
        <v>24</v>
      </c>
      <c r="B251" t="s">
        <v>444</v>
      </c>
      <c r="C251" t="str">
        <f t="shared" si="4"/>
        <v>18-29</v>
      </c>
    </row>
    <row r="252" spans="1:3">
      <c r="A252">
        <v>20</v>
      </c>
      <c r="B252" t="s">
        <v>443</v>
      </c>
      <c r="C252" t="str">
        <f t="shared" si="4"/>
        <v>18-29</v>
      </c>
    </row>
    <row r="253" spans="1:3">
      <c r="A253">
        <v>53</v>
      </c>
      <c r="B253" t="s">
        <v>444</v>
      </c>
      <c r="C253" t="str">
        <f t="shared" si="4"/>
        <v>45-59</v>
      </c>
    </row>
    <row r="254" spans="1:3">
      <c r="A254">
        <v>26</v>
      </c>
      <c r="B254" t="s">
        <v>444</v>
      </c>
      <c r="C254" t="str">
        <f t="shared" si="4"/>
        <v>18-29</v>
      </c>
    </row>
    <row r="255" spans="1:3">
      <c r="A255">
        <v>37</v>
      </c>
      <c r="B255" t="s">
        <v>445</v>
      </c>
      <c r="C255" t="str">
        <f t="shared" si="4"/>
        <v>30-44</v>
      </c>
    </row>
    <row r="256" spans="1:3">
      <c r="A256">
        <v>47</v>
      </c>
      <c r="B256" t="s">
        <v>444</v>
      </c>
      <c r="C256" t="str">
        <f t="shared" si="4"/>
        <v>45-59</v>
      </c>
    </row>
    <row r="257" spans="1:3">
      <c r="A257">
        <v>27</v>
      </c>
      <c r="B257" t="s">
        <v>445</v>
      </c>
      <c r="C257" t="str">
        <f t="shared" si="4"/>
        <v>18-29</v>
      </c>
    </row>
    <row r="258" spans="1:3">
      <c r="A258">
        <v>46</v>
      </c>
      <c r="B258" t="s">
        <v>444</v>
      </c>
      <c r="C258" t="str">
        <f t="shared" si="4"/>
        <v>45-59</v>
      </c>
    </row>
    <row r="259" spans="1:3">
      <c r="A259">
        <v>67</v>
      </c>
      <c r="B259" t="s">
        <v>445</v>
      </c>
      <c r="C259" t="str">
        <f t="shared" ref="C259:C322" si="5">IF(A259&lt;30,"18-29",IF(A259&lt;45,"30-44",IF(A259&lt;60,"45-59","60+")))</f>
        <v>60+</v>
      </c>
    </row>
    <row r="260" spans="1:3">
      <c r="A260">
        <v>75</v>
      </c>
      <c r="B260" t="s">
        <v>444</v>
      </c>
      <c r="C260" t="str">
        <f t="shared" si="5"/>
        <v>60+</v>
      </c>
    </row>
    <row r="261" spans="1:3">
      <c r="A261">
        <v>24</v>
      </c>
      <c r="B261" t="s">
        <v>443</v>
      </c>
      <c r="C261" t="str">
        <f t="shared" si="5"/>
        <v>18-29</v>
      </c>
    </row>
    <row r="262" spans="1:3">
      <c r="A262">
        <v>55</v>
      </c>
      <c r="B262" t="s">
        <v>444</v>
      </c>
      <c r="C262" t="str">
        <f t="shared" si="5"/>
        <v>45-59</v>
      </c>
    </row>
    <row r="263" spans="1:3">
      <c r="A263">
        <v>34</v>
      </c>
      <c r="B263" t="s">
        <v>445</v>
      </c>
      <c r="C263" t="str">
        <f t="shared" si="5"/>
        <v>30-44</v>
      </c>
    </row>
    <row r="264" spans="1:3">
      <c r="A264">
        <v>25</v>
      </c>
      <c r="B264" t="s">
        <v>444</v>
      </c>
      <c r="C264" t="str">
        <f t="shared" si="5"/>
        <v>18-29</v>
      </c>
    </row>
    <row r="265" spans="1:3">
      <c r="A265">
        <v>26</v>
      </c>
      <c r="B265" t="s">
        <v>443</v>
      </c>
      <c r="C265" t="str">
        <f t="shared" si="5"/>
        <v>18-29</v>
      </c>
    </row>
    <row r="266" spans="1:3">
      <c r="A266">
        <v>37</v>
      </c>
      <c r="B266" t="s">
        <v>443</v>
      </c>
      <c r="C266" t="str">
        <f t="shared" si="5"/>
        <v>30-44</v>
      </c>
    </row>
    <row r="267" spans="1:3">
      <c r="A267">
        <v>61</v>
      </c>
      <c r="B267" t="s">
        <v>444</v>
      </c>
      <c r="C267" t="str">
        <f t="shared" si="5"/>
        <v>60+</v>
      </c>
    </row>
    <row r="268" spans="1:3">
      <c r="A268">
        <v>53</v>
      </c>
      <c r="B268" t="s">
        <v>444</v>
      </c>
      <c r="C268" t="str">
        <f t="shared" si="5"/>
        <v>45-59</v>
      </c>
    </row>
    <row r="269" spans="1:3">
      <c r="A269">
        <v>55</v>
      </c>
      <c r="B269" t="s">
        <v>444</v>
      </c>
      <c r="C269" t="str">
        <f t="shared" si="5"/>
        <v>45-59</v>
      </c>
    </row>
    <row r="270" spans="1:3">
      <c r="A270">
        <v>63</v>
      </c>
      <c r="B270" t="s">
        <v>444</v>
      </c>
      <c r="C270" t="str">
        <f t="shared" si="5"/>
        <v>60+</v>
      </c>
    </row>
    <row r="271" spans="1:3">
      <c r="A271">
        <v>69</v>
      </c>
      <c r="B271" t="s">
        <v>444</v>
      </c>
      <c r="C271" t="str">
        <f t="shared" si="5"/>
        <v>60+</v>
      </c>
    </row>
    <row r="272" spans="1:3">
      <c r="A272">
        <v>69</v>
      </c>
      <c r="B272" t="s">
        <v>444</v>
      </c>
      <c r="C272" t="str">
        <f t="shared" si="5"/>
        <v>60+</v>
      </c>
    </row>
    <row r="273" spans="1:3">
      <c r="A273">
        <v>18</v>
      </c>
      <c r="B273" t="s">
        <v>444</v>
      </c>
      <c r="C273" t="str">
        <f t="shared" si="5"/>
        <v>18-29</v>
      </c>
    </row>
    <row r="274" spans="1:3">
      <c r="A274">
        <v>26</v>
      </c>
      <c r="B274" t="s">
        <v>444</v>
      </c>
      <c r="C274" t="str">
        <f t="shared" si="5"/>
        <v>18-29</v>
      </c>
    </row>
    <row r="275" spans="1:3">
      <c r="A275">
        <v>46</v>
      </c>
      <c r="B275" t="s">
        <v>443</v>
      </c>
      <c r="C275" t="str">
        <f t="shared" si="5"/>
        <v>45-59</v>
      </c>
    </row>
    <row r="276" spans="1:3">
      <c r="A276">
        <v>36</v>
      </c>
      <c r="B276" t="s">
        <v>443</v>
      </c>
      <c r="C276" t="str">
        <f t="shared" si="5"/>
        <v>30-44</v>
      </c>
    </row>
    <row r="277" spans="1:3">
      <c r="A277">
        <v>46</v>
      </c>
      <c r="B277" t="s">
        <v>444</v>
      </c>
      <c r="C277" t="str">
        <f t="shared" si="5"/>
        <v>45-59</v>
      </c>
    </row>
    <row r="278" spans="1:3">
      <c r="A278">
        <v>27</v>
      </c>
      <c r="B278" t="s">
        <v>444</v>
      </c>
      <c r="C278" t="str">
        <f t="shared" si="5"/>
        <v>18-29</v>
      </c>
    </row>
    <row r="279" spans="1:3">
      <c r="A279">
        <v>22</v>
      </c>
      <c r="B279" t="s">
        <v>445</v>
      </c>
      <c r="C279" t="str">
        <f t="shared" si="5"/>
        <v>18-29</v>
      </c>
    </row>
    <row r="280" spans="1:3">
      <c r="A280">
        <v>60</v>
      </c>
      <c r="B280" t="s">
        <v>444</v>
      </c>
      <c r="C280" t="str">
        <f t="shared" si="5"/>
        <v>60+</v>
      </c>
    </row>
    <row r="281" spans="1:3">
      <c r="A281">
        <v>19</v>
      </c>
      <c r="B281" t="s">
        <v>445</v>
      </c>
      <c r="C281" t="str">
        <f t="shared" si="5"/>
        <v>18-29</v>
      </c>
    </row>
    <row r="282" spans="1:3">
      <c r="A282">
        <v>70</v>
      </c>
      <c r="B282" t="s">
        <v>444</v>
      </c>
      <c r="C282" t="str">
        <f t="shared" si="5"/>
        <v>60+</v>
      </c>
    </row>
    <row r="283" spans="1:3">
      <c r="A283">
        <v>53</v>
      </c>
      <c r="B283" t="s">
        <v>443</v>
      </c>
      <c r="C283" t="str">
        <f t="shared" si="5"/>
        <v>45-59</v>
      </c>
    </row>
    <row r="284" spans="1:3">
      <c r="A284">
        <v>43</v>
      </c>
      <c r="B284" t="s">
        <v>443</v>
      </c>
      <c r="C284" t="str">
        <f t="shared" si="5"/>
        <v>30-44</v>
      </c>
    </row>
    <row r="285" spans="1:3">
      <c r="A285">
        <v>70</v>
      </c>
      <c r="B285" t="s">
        <v>444</v>
      </c>
      <c r="C285" t="str">
        <f t="shared" si="5"/>
        <v>60+</v>
      </c>
    </row>
    <row r="286" spans="1:3">
      <c r="A286">
        <v>23</v>
      </c>
      <c r="B286" t="s">
        <v>443</v>
      </c>
      <c r="C286" t="str">
        <f t="shared" si="5"/>
        <v>18-29</v>
      </c>
    </row>
    <row r="287" spans="1:3">
      <c r="A287">
        <v>72</v>
      </c>
      <c r="B287" t="s">
        <v>445</v>
      </c>
      <c r="C287" t="str">
        <f t="shared" si="5"/>
        <v>60+</v>
      </c>
    </row>
    <row r="288" spans="1:3">
      <c r="A288">
        <v>50</v>
      </c>
      <c r="B288" t="s">
        <v>443</v>
      </c>
      <c r="C288" t="str">
        <f t="shared" si="5"/>
        <v>45-59</v>
      </c>
    </row>
    <row r="289" spans="1:3">
      <c r="A289">
        <v>19</v>
      </c>
      <c r="B289" t="s">
        <v>443</v>
      </c>
      <c r="C289" t="str">
        <f t="shared" si="5"/>
        <v>18-29</v>
      </c>
    </row>
    <row r="290" spans="1:3">
      <c r="A290">
        <v>21</v>
      </c>
      <c r="B290" t="s">
        <v>444</v>
      </c>
      <c r="C290" t="str">
        <f t="shared" si="5"/>
        <v>18-29</v>
      </c>
    </row>
    <row r="291" spans="1:3">
      <c r="A291">
        <v>44</v>
      </c>
      <c r="B291" t="s">
        <v>443</v>
      </c>
      <c r="C291" t="str">
        <f t="shared" si="5"/>
        <v>30-44</v>
      </c>
    </row>
    <row r="292" spans="1:3">
      <c r="A292">
        <v>38</v>
      </c>
      <c r="B292" t="s">
        <v>445</v>
      </c>
      <c r="C292" t="str">
        <f t="shared" si="5"/>
        <v>30-44</v>
      </c>
    </row>
    <row r="293" spans="1:3">
      <c r="A293">
        <v>58</v>
      </c>
      <c r="B293" t="s">
        <v>443</v>
      </c>
      <c r="C293" t="str">
        <f t="shared" si="5"/>
        <v>45-59</v>
      </c>
    </row>
    <row r="294" spans="1:3">
      <c r="A294">
        <v>50</v>
      </c>
      <c r="B294" t="s">
        <v>443</v>
      </c>
      <c r="C294" t="str">
        <f t="shared" si="5"/>
        <v>45-59</v>
      </c>
    </row>
    <row r="295" spans="1:3">
      <c r="A295">
        <v>36</v>
      </c>
      <c r="B295" t="s">
        <v>445</v>
      </c>
      <c r="C295" t="str">
        <f t="shared" si="5"/>
        <v>30-44</v>
      </c>
    </row>
    <row r="296" spans="1:3">
      <c r="A296">
        <v>65</v>
      </c>
      <c r="B296" t="s">
        <v>444</v>
      </c>
      <c r="C296" t="str">
        <f t="shared" si="5"/>
        <v>60+</v>
      </c>
    </row>
    <row r="297" spans="1:3">
      <c r="A297">
        <v>27</v>
      </c>
      <c r="B297" t="s">
        <v>445</v>
      </c>
      <c r="C297" t="str">
        <f t="shared" si="5"/>
        <v>18-29</v>
      </c>
    </row>
    <row r="298" spans="1:3">
      <c r="A298">
        <v>44</v>
      </c>
      <c r="B298" t="s">
        <v>443</v>
      </c>
      <c r="C298" t="str">
        <f t="shared" si="5"/>
        <v>30-44</v>
      </c>
    </row>
    <row r="299" spans="1:3">
      <c r="A299">
        <v>32</v>
      </c>
      <c r="B299" t="s">
        <v>444</v>
      </c>
      <c r="C299" t="str">
        <f t="shared" si="5"/>
        <v>30-44</v>
      </c>
    </row>
    <row r="300" spans="1:3">
      <c r="A300">
        <v>60</v>
      </c>
      <c r="B300" t="s">
        <v>443</v>
      </c>
      <c r="C300" t="str">
        <f t="shared" si="5"/>
        <v>60+</v>
      </c>
    </row>
    <row r="301" spans="1:3">
      <c r="A301">
        <v>74</v>
      </c>
      <c r="B301" t="s">
        <v>445</v>
      </c>
      <c r="C301" t="str">
        <f t="shared" si="5"/>
        <v>60+</v>
      </c>
    </row>
    <row r="302" spans="1:3">
      <c r="A302">
        <v>26</v>
      </c>
      <c r="B302" t="s">
        <v>443</v>
      </c>
      <c r="C302" t="str">
        <f t="shared" si="5"/>
        <v>18-29</v>
      </c>
    </row>
    <row r="303" spans="1:3">
      <c r="A303">
        <v>67</v>
      </c>
      <c r="B303" t="s">
        <v>444</v>
      </c>
      <c r="C303" t="str">
        <f t="shared" si="5"/>
        <v>60+</v>
      </c>
    </row>
    <row r="304" spans="1:3">
      <c r="A304">
        <v>43</v>
      </c>
      <c r="B304" t="s">
        <v>444</v>
      </c>
      <c r="C304" t="str">
        <f t="shared" si="5"/>
        <v>30-44</v>
      </c>
    </row>
    <row r="305" spans="1:3">
      <c r="A305">
        <v>33</v>
      </c>
      <c r="B305" t="s">
        <v>443</v>
      </c>
      <c r="C305" t="str">
        <f t="shared" si="5"/>
        <v>30-44</v>
      </c>
    </row>
    <row r="306" spans="1:3">
      <c r="A306">
        <v>22</v>
      </c>
      <c r="B306" t="s">
        <v>444</v>
      </c>
      <c r="C306" t="str">
        <f t="shared" si="5"/>
        <v>18-29</v>
      </c>
    </row>
    <row r="307" spans="1:3">
      <c r="A307">
        <v>18</v>
      </c>
      <c r="B307" t="s">
        <v>444</v>
      </c>
      <c r="C307" t="str">
        <f t="shared" si="5"/>
        <v>18-29</v>
      </c>
    </row>
    <row r="308" spans="1:3">
      <c r="A308">
        <v>42</v>
      </c>
      <c r="B308" t="s">
        <v>445</v>
      </c>
      <c r="C308" t="str">
        <f t="shared" si="5"/>
        <v>30-44</v>
      </c>
    </row>
    <row r="309" spans="1:3">
      <c r="A309">
        <v>46</v>
      </c>
      <c r="B309" t="s">
        <v>444</v>
      </c>
      <c r="C309" t="str">
        <f t="shared" si="5"/>
        <v>45-59</v>
      </c>
    </row>
    <row r="310" spans="1:3">
      <c r="A310">
        <v>40</v>
      </c>
      <c r="B310" t="s">
        <v>443</v>
      </c>
      <c r="C310" t="str">
        <f t="shared" si="5"/>
        <v>30-44</v>
      </c>
    </row>
    <row r="311" spans="1:3">
      <c r="A311">
        <v>68</v>
      </c>
      <c r="B311" t="s">
        <v>443</v>
      </c>
      <c r="C311" t="str">
        <f t="shared" si="5"/>
        <v>60+</v>
      </c>
    </row>
    <row r="312" spans="1:3">
      <c r="A312">
        <v>73</v>
      </c>
      <c r="B312" t="s">
        <v>444</v>
      </c>
      <c r="C312" t="str">
        <f t="shared" si="5"/>
        <v>60+</v>
      </c>
    </row>
    <row r="313" spans="1:3">
      <c r="A313">
        <v>33</v>
      </c>
      <c r="B313" t="s">
        <v>443</v>
      </c>
      <c r="C313" t="str">
        <f t="shared" si="5"/>
        <v>30-44</v>
      </c>
    </row>
    <row r="314" spans="1:3">
      <c r="A314">
        <v>67</v>
      </c>
      <c r="B314" t="s">
        <v>444</v>
      </c>
      <c r="C314" t="str">
        <f t="shared" si="5"/>
        <v>60+</v>
      </c>
    </row>
    <row r="315" spans="1:3">
      <c r="A315">
        <v>33</v>
      </c>
      <c r="B315" t="s">
        <v>444</v>
      </c>
      <c r="C315" t="str">
        <f t="shared" si="5"/>
        <v>30-44</v>
      </c>
    </row>
    <row r="316" spans="1:3">
      <c r="A316">
        <v>64</v>
      </c>
      <c r="B316" t="s">
        <v>445</v>
      </c>
      <c r="C316" t="str">
        <f t="shared" si="5"/>
        <v>60+</v>
      </c>
    </row>
    <row r="317" spans="1:3">
      <c r="A317">
        <v>21</v>
      </c>
      <c r="B317" t="s">
        <v>444</v>
      </c>
      <c r="C317" t="str">
        <f t="shared" si="5"/>
        <v>18-29</v>
      </c>
    </row>
    <row r="318" spans="1:3">
      <c r="A318">
        <v>59</v>
      </c>
      <c r="B318" t="s">
        <v>444</v>
      </c>
      <c r="C318" t="str">
        <f t="shared" si="5"/>
        <v>45-59</v>
      </c>
    </row>
    <row r="319" spans="1:3">
      <c r="A319">
        <v>21</v>
      </c>
      <c r="B319" t="s">
        <v>443</v>
      </c>
      <c r="C319" t="str">
        <f t="shared" si="5"/>
        <v>18-29</v>
      </c>
    </row>
    <row r="320" spans="1:3">
      <c r="A320">
        <v>74</v>
      </c>
      <c r="B320" t="s">
        <v>443</v>
      </c>
      <c r="C320" t="str">
        <f t="shared" si="5"/>
        <v>60+</v>
      </c>
    </row>
    <row r="321" spans="1:3">
      <c r="A321">
        <v>45</v>
      </c>
      <c r="B321" t="s">
        <v>444</v>
      </c>
      <c r="C321" t="str">
        <f t="shared" si="5"/>
        <v>45-59</v>
      </c>
    </row>
    <row r="322" spans="1:3">
      <c r="A322">
        <v>33</v>
      </c>
      <c r="B322" t="s">
        <v>443</v>
      </c>
      <c r="C322" t="str">
        <f t="shared" si="5"/>
        <v>30-44</v>
      </c>
    </row>
    <row r="323" spans="1:3">
      <c r="A323">
        <v>31</v>
      </c>
      <c r="B323" t="s">
        <v>445</v>
      </c>
      <c r="C323" t="str">
        <f t="shared" ref="C323:C386" si="6">IF(A323&lt;30,"18-29",IF(A323&lt;45,"30-44",IF(A323&lt;60,"45-59","60+")))</f>
        <v>30-44</v>
      </c>
    </row>
    <row r="324" spans="1:3">
      <c r="A324">
        <v>33</v>
      </c>
      <c r="B324" t="s">
        <v>444</v>
      </c>
      <c r="C324" t="str">
        <f t="shared" si="6"/>
        <v>30-44</v>
      </c>
    </row>
    <row r="325" spans="1:3">
      <c r="A325">
        <v>24</v>
      </c>
      <c r="B325" t="s">
        <v>443</v>
      </c>
      <c r="C325" t="str">
        <f t="shared" si="6"/>
        <v>18-29</v>
      </c>
    </row>
    <row r="326" spans="1:3">
      <c r="A326">
        <v>52</v>
      </c>
      <c r="B326" t="s">
        <v>444</v>
      </c>
      <c r="C326" t="str">
        <f t="shared" si="6"/>
        <v>45-59</v>
      </c>
    </row>
    <row r="327" spans="1:3">
      <c r="A327">
        <v>54</v>
      </c>
      <c r="B327" t="s">
        <v>445</v>
      </c>
      <c r="C327" t="str">
        <f t="shared" si="6"/>
        <v>45-59</v>
      </c>
    </row>
    <row r="328" spans="1:3">
      <c r="A328">
        <v>50</v>
      </c>
      <c r="B328" t="s">
        <v>445</v>
      </c>
      <c r="C328" t="str">
        <f t="shared" si="6"/>
        <v>45-59</v>
      </c>
    </row>
    <row r="329" spans="1:3">
      <c r="A329">
        <v>68</v>
      </c>
      <c r="B329" t="s">
        <v>444</v>
      </c>
      <c r="C329" t="str">
        <f t="shared" si="6"/>
        <v>60+</v>
      </c>
    </row>
    <row r="330" spans="1:3">
      <c r="A330">
        <v>19</v>
      </c>
      <c r="B330" t="s">
        <v>444</v>
      </c>
      <c r="C330" t="str">
        <f t="shared" si="6"/>
        <v>18-29</v>
      </c>
    </row>
    <row r="331" spans="1:3">
      <c r="A331">
        <v>20</v>
      </c>
      <c r="B331" t="s">
        <v>444</v>
      </c>
      <c r="C331" t="str">
        <f t="shared" si="6"/>
        <v>18-29</v>
      </c>
    </row>
    <row r="332" spans="1:3">
      <c r="A332">
        <v>29</v>
      </c>
      <c r="B332" t="s">
        <v>444</v>
      </c>
      <c r="C332" t="str">
        <f t="shared" si="6"/>
        <v>18-29</v>
      </c>
    </row>
    <row r="333" spans="1:3">
      <c r="A333">
        <v>28</v>
      </c>
      <c r="B333" t="s">
        <v>444</v>
      </c>
      <c r="C333" t="str">
        <f t="shared" si="6"/>
        <v>18-29</v>
      </c>
    </row>
    <row r="334" spans="1:3">
      <c r="A334">
        <v>68</v>
      </c>
      <c r="B334" t="s">
        <v>443</v>
      </c>
      <c r="C334" t="str">
        <f t="shared" si="6"/>
        <v>60+</v>
      </c>
    </row>
    <row r="335" spans="1:3">
      <c r="A335">
        <v>65</v>
      </c>
      <c r="B335" t="s">
        <v>444</v>
      </c>
      <c r="C335" t="str">
        <f t="shared" si="6"/>
        <v>60+</v>
      </c>
    </row>
    <row r="336" spans="1:3">
      <c r="A336">
        <v>23</v>
      </c>
      <c r="B336" t="s">
        <v>445</v>
      </c>
      <c r="C336" t="str">
        <f t="shared" si="6"/>
        <v>18-29</v>
      </c>
    </row>
    <row r="337" spans="1:3">
      <c r="A337">
        <v>71</v>
      </c>
      <c r="B337" t="s">
        <v>444</v>
      </c>
      <c r="C337" t="str">
        <f t="shared" si="6"/>
        <v>60+</v>
      </c>
    </row>
    <row r="338" spans="1:3">
      <c r="A338">
        <v>47</v>
      </c>
      <c r="B338" t="s">
        <v>444</v>
      </c>
      <c r="C338" t="str">
        <f t="shared" si="6"/>
        <v>45-59</v>
      </c>
    </row>
    <row r="339" spans="1:3">
      <c r="A339">
        <v>60</v>
      </c>
      <c r="B339" t="s">
        <v>443</v>
      </c>
      <c r="C339" t="str">
        <f t="shared" si="6"/>
        <v>60+</v>
      </c>
    </row>
    <row r="340" spans="1:3">
      <c r="A340">
        <v>18</v>
      </c>
      <c r="B340" t="s">
        <v>445</v>
      </c>
      <c r="C340" t="str">
        <f t="shared" si="6"/>
        <v>18-29</v>
      </c>
    </row>
    <row r="341" spans="1:3">
      <c r="A341">
        <v>72</v>
      </c>
      <c r="B341" t="s">
        <v>444</v>
      </c>
      <c r="C341" t="str">
        <f t="shared" si="6"/>
        <v>60+</v>
      </c>
    </row>
    <row r="342" spans="1:3">
      <c r="A342">
        <v>42</v>
      </c>
      <c r="B342" t="s">
        <v>444</v>
      </c>
      <c r="C342" t="str">
        <f t="shared" si="6"/>
        <v>30-44</v>
      </c>
    </row>
    <row r="343" spans="1:3">
      <c r="A343">
        <v>18</v>
      </c>
      <c r="B343" t="s">
        <v>444</v>
      </c>
      <c r="C343" t="str">
        <f t="shared" si="6"/>
        <v>18-29</v>
      </c>
    </row>
    <row r="344" spans="1:3">
      <c r="A344">
        <v>52</v>
      </c>
      <c r="B344" t="s">
        <v>444</v>
      </c>
      <c r="C344" t="str">
        <f t="shared" si="6"/>
        <v>45-59</v>
      </c>
    </row>
    <row r="345" spans="1:3">
      <c r="A345">
        <v>35</v>
      </c>
      <c r="B345" t="s">
        <v>444</v>
      </c>
      <c r="C345" t="str">
        <f t="shared" si="6"/>
        <v>30-44</v>
      </c>
    </row>
    <row r="346" spans="1:3">
      <c r="A346">
        <v>32</v>
      </c>
      <c r="B346" t="s">
        <v>444</v>
      </c>
      <c r="C346" t="str">
        <f t="shared" si="6"/>
        <v>30-44</v>
      </c>
    </row>
    <row r="347" spans="1:3">
      <c r="A347">
        <v>45</v>
      </c>
      <c r="B347" t="s">
        <v>443</v>
      </c>
      <c r="C347" t="str">
        <f t="shared" si="6"/>
        <v>45-59</v>
      </c>
    </row>
    <row r="348" spans="1:3">
      <c r="A348">
        <v>68</v>
      </c>
      <c r="B348" t="s">
        <v>445</v>
      </c>
      <c r="C348" t="str">
        <f t="shared" si="6"/>
        <v>60+</v>
      </c>
    </row>
    <row r="349" spans="1:3">
      <c r="A349">
        <v>69</v>
      </c>
      <c r="B349" t="s">
        <v>444</v>
      </c>
      <c r="C349" t="str">
        <f t="shared" si="6"/>
        <v>60+</v>
      </c>
    </row>
    <row r="350" spans="1:3">
      <c r="A350">
        <v>35</v>
      </c>
      <c r="B350" t="s">
        <v>445</v>
      </c>
      <c r="C350" t="str">
        <f t="shared" si="6"/>
        <v>30-44</v>
      </c>
    </row>
    <row r="351" spans="1:3">
      <c r="A351">
        <v>18</v>
      </c>
      <c r="B351" t="s">
        <v>444</v>
      </c>
      <c r="C351" t="str">
        <f t="shared" si="6"/>
        <v>18-29</v>
      </c>
    </row>
    <row r="352" spans="1:3">
      <c r="A352">
        <v>49</v>
      </c>
      <c r="B352" t="s">
        <v>443</v>
      </c>
      <c r="C352" t="str">
        <f t="shared" si="6"/>
        <v>45-59</v>
      </c>
    </row>
    <row r="353" spans="1:3">
      <c r="A353">
        <v>64</v>
      </c>
      <c r="B353" t="s">
        <v>444</v>
      </c>
      <c r="C353" t="str">
        <f t="shared" si="6"/>
        <v>60+</v>
      </c>
    </row>
    <row r="354" spans="1:3">
      <c r="A354">
        <v>42</v>
      </c>
      <c r="B354" t="s">
        <v>443</v>
      </c>
      <c r="C354" t="str">
        <f t="shared" si="6"/>
        <v>30-44</v>
      </c>
    </row>
    <row r="355" spans="1:3">
      <c r="A355">
        <v>25</v>
      </c>
      <c r="B355" t="s">
        <v>443</v>
      </c>
      <c r="C355" t="str">
        <f t="shared" si="6"/>
        <v>18-29</v>
      </c>
    </row>
    <row r="356" spans="1:3">
      <c r="A356">
        <v>29</v>
      </c>
      <c r="B356" t="s">
        <v>443</v>
      </c>
      <c r="C356" t="str">
        <f t="shared" si="6"/>
        <v>18-29</v>
      </c>
    </row>
    <row r="357" spans="1:3">
      <c r="A357">
        <v>56</v>
      </c>
      <c r="B357" t="s">
        <v>443</v>
      </c>
      <c r="C357" t="str">
        <f t="shared" si="6"/>
        <v>45-59</v>
      </c>
    </row>
    <row r="358" spans="1:3">
      <c r="A358">
        <v>24</v>
      </c>
      <c r="B358" t="s">
        <v>445</v>
      </c>
      <c r="C358" t="str">
        <f t="shared" si="6"/>
        <v>18-29</v>
      </c>
    </row>
    <row r="359" spans="1:3">
      <c r="A359">
        <v>54</v>
      </c>
      <c r="B359" t="s">
        <v>445</v>
      </c>
      <c r="C359" t="str">
        <f t="shared" si="6"/>
        <v>45-59</v>
      </c>
    </row>
    <row r="360" spans="1:3">
      <c r="A360">
        <v>36</v>
      </c>
      <c r="B360" t="s">
        <v>444</v>
      </c>
      <c r="C360" t="str">
        <f t="shared" si="6"/>
        <v>30-44</v>
      </c>
    </row>
    <row r="361" spans="1:3">
      <c r="A361">
        <v>33</v>
      </c>
      <c r="B361" t="s">
        <v>443</v>
      </c>
      <c r="C361" t="str">
        <f t="shared" si="6"/>
        <v>30-44</v>
      </c>
    </row>
    <row r="362" spans="1:3">
      <c r="A362">
        <v>48</v>
      </c>
      <c r="B362" t="s">
        <v>445</v>
      </c>
      <c r="C362" t="str">
        <f t="shared" si="6"/>
        <v>45-59</v>
      </c>
    </row>
    <row r="363" spans="1:3">
      <c r="A363">
        <v>29</v>
      </c>
      <c r="B363" t="s">
        <v>443</v>
      </c>
      <c r="C363" t="str">
        <f t="shared" si="6"/>
        <v>18-29</v>
      </c>
    </row>
    <row r="364" spans="1:3">
      <c r="A364">
        <v>56</v>
      </c>
      <c r="B364" t="s">
        <v>443</v>
      </c>
      <c r="C364" t="str">
        <f t="shared" si="6"/>
        <v>45-59</v>
      </c>
    </row>
    <row r="365" spans="1:3">
      <c r="A365">
        <v>32</v>
      </c>
      <c r="B365" t="s">
        <v>444</v>
      </c>
      <c r="C365" t="str">
        <f t="shared" si="6"/>
        <v>30-44</v>
      </c>
    </row>
    <row r="366" spans="1:3">
      <c r="A366">
        <v>65</v>
      </c>
      <c r="B366" t="s">
        <v>444</v>
      </c>
      <c r="C366" t="str">
        <f t="shared" si="6"/>
        <v>60+</v>
      </c>
    </row>
    <row r="367" spans="1:3">
      <c r="A367">
        <v>50</v>
      </c>
      <c r="B367" t="s">
        <v>443</v>
      </c>
      <c r="C367" t="str">
        <f t="shared" si="6"/>
        <v>45-59</v>
      </c>
    </row>
    <row r="368" spans="1:3">
      <c r="A368">
        <v>57</v>
      </c>
      <c r="B368" t="s">
        <v>443</v>
      </c>
      <c r="C368" t="str">
        <f t="shared" si="6"/>
        <v>45-59</v>
      </c>
    </row>
    <row r="369" spans="1:3">
      <c r="A369">
        <v>62</v>
      </c>
      <c r="B369" t="s">
        <v>444</v>
      </c>
      <c r="C369" t="str">
        <f t="shared" si="6"/>
        <v>60+</v>
      </c>
    </row>
    <row r="370" spans="1:3">
      <c r="A370">
        <v>37</v>
      </c>
      <c r="B370" t="s">
        <v>445</v>
      </c>
      <c r="C370" t="str">
        <f t="shared" si="6"/>
        <v>30-44</v>
      </c>
    </row>
    <row r="371" spans="1:3">
      <c r="A371">
        <v>63</v>
      </c>
      <c r="B371" t="s">
        <v>443</v>
      </c>
      <c r="C371" t="str">
        <f t="shared" si="6"/>
        <v>60+</v>
      </c>
    </row>
    <row r="372" spans="1:3">
      <c r="A372">
        <v>51</v>
      </c>
      <c r="B372" t="s">
        <v>443</v>
      </c>
      <c r="C372" t="str">
        <f t="shared" si="6"/>
        <v>45-59</v>
      </c>
    </row>
    <row r="373" spans="1:3">
      <c r="A373">
        <v>67</v>
      </c>
      <c r="B373" t="s">
        <v>443</v>
      </c>
      <c r="C373" t="str">
        <f t="shared" si="6"/>
        <v>60+</v>
      </c>
    </row>
    <row r="374" spans="1:3">
      <c r="A374">
        <v>33</v>
      </c>
      <c r="B374" t="s">
        <v>443</v>
      </c>
      <c r="C374" t="str">
        <f t="shared" si="6"/>
        <v>30-44</v>
      </c>
    </row>
    <row r="375" spans="1:3">
      <c r="A375">
        <v>42</v>
      </c>
      <c r="B375" t="s">
        <v>443</v>
      </c>
      <c r="C375" t="str">
        <f t="shared" si="6"/>
        <v>30-44</v>
      </c>
    </row>
    <row r="376" spans="1:3">
      <c r="A376">
        <v>35</v>
      </c>
      <c r="B376" t="s">
        <v>444</v>
      </c>
      <c r="C376" t="str">
        <f t="shared" si="6"/>
        <v>30-44</v>
      </c>
    </row>
    <row r="377" spans="1:3">
      <c r="A377">
        <v>26</v>
      </c>
      <c r="B377" t="s">
        <v>444</v>
      </c>
      <c r="C377" t="str">
        <f t="shared" si="6"/>
        <v>18-29</v>
      </c>
    </row>
    <row r="378" spans="1:3">
      <c r="A378">
        <v>49</v>
      </c>
      <c r="B378" t="s">
        <v>443</v>
      </c>
      <c r="C378" t="str">
        <f t="shared" si="6"/>
        <v>45-59</v>
      </c>
    </row>
    <row r="379" spans="1:3">
      <c r="A379">
        <v>45</v>
      </c>
      <c r="B379" t="s">
        <v>444</v>
      </c>
      <c r="C379" t="str">
        <f t="shared" si="6"/>
        <v>45-59</v>
      </c>
    </row>
    <row r="380" spans="1:3">
      <c r="A380">
        <v>26</v>
      </c>
      <c r="B380" t="s">
        <v>443</v>
      </c>
      <c r="C380" t="str">
        <f t="shared" si="6"/>
        <v>18-29</v>
      </c>
    </row>
    <row r="381" spans="1:3">
      <c r="A381">
        <v>52</v>
      </c>
      <c r="B381" t="s">
        <v>444</v>
      </c>
      <c r="C381" t="str">
        <f t="shared" si="6"/>
        <v>45-59</v>
      </c>
    </row>
    <row r="382" spans="1:3">
      <c r="A382">
        <v>53</v>
      </c>
      <c r="B382" t="s">
        <v>443</v>
      </c>
      <c r="C382" t="str">
        <f t="shared" si="6"/>
        <v>45-59</v>
      </c>
    </row>
    <row r="383" spans="1:3">
      <c r="A383">
        <v>28</v>
      </c>
      <c r="B383" t="s">
        <v>443</v>
      </c>
      <c r="C383" t="str">
        <f t="shared" si="6"/>
        <v>18-29</v>
      </c>
    </row>
    <row r="384" spans="1:3">
      <c r="A384">
        <v>54</v>
      </c>
      <c r="B384" t="s">
        <v>444</v>
      </c>
      <c r="C384" t="str">
        <f t="shared" si="6"/>
        <v>45-59</v>
      </c>
    </row>
    <row r="385" spans="1:3">
      <c r="A385">
        <v>58</v>
      </c>
      <c r="B385" t="s">
        <v>443</v>
      </c>
      <c r="C385" t="str">
        <f t="shared" si="6"/>
        <v>45-59</v>
      </c>
    </row>
    <row r="386" spans="1:3">
      <c r="A386">
        <v>68</v>
      </c>
      <c r="B386" t="s">
        <v>444</v>
      </c>
      <c r="C386" t="str">
        <f t="shared" si="6"/>
        <v>60+</v>
      </c>
    </row>
    <row r="387" spans="1:3">
      <c r="A387">
        <v>37</v>
      </c>
      <c r="B387" t="s">
        <v>443</v>
      </c>
      <c r="C387" t="str">
        <f t="shared" ref="C387:C401" si="7">IF(A387&lt;30,"18-29",IF(A387&lt;45,"30-44",IF(A387&lt;60,"45-59","60+")))</f>
        <v>30-44</v>
      </c>
    </row>
    <row r="388" spans="1:3">
      <c r="A388">
        <v>67</v>
      </c>
      <c r="B388" t="s">
        <v>444</v>
      </c>
      <c r="C388" t="str">
        <f t="shared" si="7"/>
        <v>60+</v>
      </c>
    </row>
    <row r="389" spans="1:3">
      <c r="A389">
        <v>29</v>
      </c>
      <c r="B389" t="s">
        <v>443</v>
      </c>
      <c r="C389" t="str">
        <f t="shared" si="7"/>
        <v>18-29</v>
      </c>
    </row>
    <row r="390" spans="1:3">
      <c r="A390">
        <v>42</v>
      </c>
      <c r="B390" t="s">
        <v>443</v>
      </c>
      <c r="C390" t="str">
        <f t="shared" si="7"/>
        <v>30-44</v>
      </c>
    </row>
    <row r="391" spans="1:3">
      <c r="A391">
        <v>58</v>
      </c>
      <c r="B391" t="s">
        <v>443</v>
      </c>
      <c r="C391" t="str">
        <f t="shared" si="7"/>
        <v>45-59</v>
      </c>
    </row>
    <row r="392" spans="1:3">
      <c r="A392">
        <v>46</v>
      </c>
      <c r="B392" t="s">
        <v>444</v>
      </c>
      <c r="C392" t="str">
        <f t="shared" si="7"/>
        <v>45-59</v>
      </c>
    </row>
    <row r="393" spans="1:3">
      <c r="A393">
        <v>35</v>
      </c>
      <c r="B393" t="s">
        <v>444</v>
      </c>
      <c r="C393" t="str">
        <f t="shared" si="7"/>
        <v>30-44</v>
      </c>
    </row>
    <row r="394" spans="1:3">
      <c r="A394">
        <v>74</v>
      </c>
      <c r="B394" t="s">
        <v>443</v>
      </c>
      <c r="C394" t="str">
        <f t="shared" si="7"/>
        <v>60+</v>
      </c>
    </row>
    <row r="395" spans="1:3">
      <c r="A395">
        <v>53</v>
      </c>
      <c r="B395" t="s">
        <v>443</v>
      </c>
      <c r="C395" t="str">
        <f t="shared" si="7"/>
        <v>45-59</v>
      </c>
    </row>
    <row r="396" spans="1:3">
      <c r="A396">
        <v>75</v>
      </c>
      <c r="B396" t="s">
        <v>444</v>
      </c>
      <c r="C396" t="str">
        <f t="shared" si="7"/>
        <v>60+</v>
      </c>
    </row>
    <row r="397" spans="1:3">
      <c r="A397">
        <v>47</v>
      </c>
      <c r="B397" t="s">
        <v>444</v>
      </c>
      <c r="C397" t="str">
        <f t="shared" si="7"/>
        <v>45-59</v>
      </c>
    </row>
    <row r="398" spans="1:3">
      <c r="A398">
        <v>71</v>
      </c>
      <c r="B398" t="s">
        <v>444</v>
      </c>
      <c r="C398" t="str">
        <f t="shared" si="7"/>
        <v>60+</v>
      </c>
    </row>
    <row r="399" spans="1:3">
      <c r="A399">
        <v>57</v>
      </c>
      <c r="B399" t="s">
        <v>444</v>
      </c>
      <c r="C399" t="str">
        <f t="shared" si="7"/>
        <v>45-59</v>
      </c>
    </row>
    <row r="400" spans="1:3">
      <c r="A400">
        <v>70</v>
      </c>
      <c r="B400" t="s">
        <v>443</v>
      </c>
      <c r="C400" t="str">
        <f t="shared" si="7"/>
        <v>60+</v>
      </c>
    </row>
    <row r="401" spans="1:3">
      <c r="A401">
        <v>51</v>
      </c>
      <c r="B401" t="s">
        <v>444</v>
      </c>
      <c r="C401" t="str">
        <f t="shared" si="7"/>
        <v>45-59</v>
      </c>
    </row>
  </sheetData>
  <autoFilter ref="A1:C401" xr:uid="{4B550C73-23AE-2A48-A96B-95412173C30D}"/>
  <mergeCells count="13">
    <mergeCell ref="F1:L1"/>
    <mergeCell ref="D5:E10"/>
    <mergeCell ref="H54:L54"/>
    <mergeCell ref="H84:L84"/>
    <mergeCell ref="H45:L45"/>
    <mergeCell ref="H6:I6"/>
    <mergeCell ref="H5:I5"/>
    <mergeCell ref="H14:I14"/>
    <mergeCell ref="H36:L36"/>
    <mergeCell ref="H21:J21"/>
    <mergeCell ref="I71:K71"/>
    <mergeCell ref="H13:I13"/>
    <mergeCell ref="H26:L26"/>
  </mergeCells>
  <pageMargins left="0.7" right="0.7" top="0.75" bottom="0.75" header="0.3" footer="0.3"/>
  <drawing r:id="rId3"/>
  <tableParts count="5">
    <tablePart r:id="rId4"/>
    <tablePart r:id="rId5"/>
    <tablePart r:id="rId6"/>
    <tablePart r:id="rId7"/>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95451-DCEC-E442-AF96-723ED54C965B}">
  <dimension ref="A1:G401"/>
  <sheetViews>
    <sheetView workbookViewId="0">
      <selection activeCell="G27" sqref="G27"/>
    </sheetView>
  </sheetViews>
  <sheetFormatPr baseColWidth="10" defaultRowHeight="16"/>
  <cols>
    <col min="1" max="1" width="21.83203125" style="152" customWidth="1"/>
    <col min="2" max="2" width="15.83203125" style="152" bestFit="1" customWidth="1"/>
    <col min="3" max="3" width="41.5" style="152" customWidth="1"/>
    <col min="4" max="4" width="22.5" style="152" customWidth="1"/>
    <col min="5" max="5" width="10.83203125" style="152"/>
    <col min="6" max="6" width="60.1640625" style="152" customWidth="1"/>
    <col min="7" max="7" width="35.1640625" style="152" customWidth="1"/>
    <col min="8" max="8" width="28.5" style="152" customWidth="1"/>
    <col min="9" max="9" width="12.1640625" style="152" bestFit="1" customWidth="1"/>
    <col min="10" max="10" width="16.6640625" style="152" bestFit="1" customWidth="1"/>
    <col min="11" max="11" width="14.83203125" style="152" bestFit="1" customWidth="1"/>
    <col min="12" max="12" width="5.83203125" style="152" bestFit="1" customWidth="1"/>
    <col min="13" max="13" width="10.6640625" style="152" bestFit="1" customWidth="1"/>
    <col min="14" max="14" width="10" style="152" bestFit="1" customWidth="1"/>
    <col min="15" max="16384" width="10.83203125" style="152"/>
  </cols>
  <sheetData>
    <row r="1" spans="1:7" ht="21">
      <c r="A1" s="222" t="s">
        <v>12</v>
      </c>
      <c r="C1" s="218" t="s">
        <v>676</v>
      </c>
      <c r="D1" s="218"/>
      <c r="E1" s="218"/>
      <c r="F1" s="218"/>
      <c r="G1" s="218"/>
    </row>
    <row r="2" spans="1:7">
      <c r="A2" s="152">
        <v>0.56999999999999995</v>
      </c>
    </row>
    <row r="3" spans="1:7">
      <c r="A3" s="152">
        <v>0.84</v>
      </c>
    </row>
    <row r="4" spans="1:7">
      <c r="A4" s="152">
        <v>12.19</v>
      </c>
    </row>
    <row r="5" spans="1:7">
      <c r="A5" s="152">
        <v>31.92</v>
      </c>
    </row>
    <row r="6" spans="1:7" ht="17" thickBot="1">
      <c r="A6" s="152">
        <v>44.82</v>
      </c>
      <c r="C6" s="245" t="s">
        <v>674</v>
      </c>
      <c r="D6" s="245"/>
    </row>
    <row r="7" spans="1:7">
      <c r="A7" s="152">
        <v>13.65</v>
      </c>
      <c r="C7" s="246" t="s">
        <v>12</v>
      </c>
      <c r="D7" s="246"/>
      <c r="F7" s="248" t="s">
        <v>465</v>
      </c>
      <c r="G7" s="249"/>
    </row>
    <row r="8" spans="1:7">
      <c r="A8" s="152">
        <v>29.2</v>
      </c>
      <c r="C8" s="230" t="s">
        <v>565</v>
      </c>
      <c r="D8" s="230" t="s">
        <v>559</v>
      </c>
      <c r="F8" s="249"/>
      <c r="G8" s="249"/>
    </row>
    <row r="9" spans="1:7">
      <c r="A9" s="152">
        <v>37.35</v>
      </c>
      <c r="C9" s="230" t="s">
        <v>540</v>
      </c>
      <c r="D9" s="231">
        <v>24.090050000000016</v>
      </c>
      <c r="F9" s="250" t="s">
        <v>677</v>
      </c>
      <c r="G9" s="249"/>
    </row>
    <row r="10" spans="1:7" ht="17" thickBot="1">
      <c r="A10" s="152">
        <v>49.22</v>
      </c>
      <c r="C10" s="230" t="s">
        <v>501</v>
      </c>
      <c r="D10" s="231">
        <v>0.70983123942590121</v>
      </c>
      <c r="F10" s="249"/>
      <c r="G10" s="249"/>
    </row>
    <row r="11" spans="1:7">
      <c r="A11" s="152">
        <v>4.3099999999999996</v>
      </c>
      <c r="C11" s="230" t="s">
        <v>537</v>
      </c>
      <c r="D11" s="231">
        <v>23.810000000000002</v>
      </c>
      <c r="F11" s="251" t="s">
        <v>678</v>
      </c>
      <c r="G11" s="252"/>
    </row>
    <row r="12" spans="1:7">
      <c r="A12" s="152">
        <v>14.84</v>
      </c>
      <c r="C12" s="230" t="s">
        <v>555</v>
      </c>
      <c r="D12" s="231">
        <v>24.29</v>
      </c>
      <c r="F12" s="253"/>
      <c r="G12" s="254"/>
    </row>
    <row r="13" spans="1:7">
      <c r="A13" s="152">
        <v>20.05</v>
      </c>
      <c r="C13" s="230" t="s">
        <v>567</v>
      </c>
      <c r="D13" s="231">
        <v>14.196624788518024</v>
      </c>
      <c r="F13" s="255" t="s">
        <v>471</v>
      </c>
      <c r="G13" s="256"/>
    </row>
    <row r="14" spans="1:7">
      <c r="A14" s="152">
        <v>43.95</v>
      </c>
      <c r="C14" s="230" t="s">
        <v>588</v>
      </c>
      <c r="D14" s="231">
        <v>201.54415538596442</v>
      </c>
      <c r="F14" s="257" t="s">
        <v>679</v>
      </c>
      <c r="G14" s="288">
        <f>_xlfn.STDEV.S('Customer Data Set'!P2:P401)</f>
        <v>14.196624788518024</v>
      </c>
    </row>
    <row r="15" spans="1:7">
      <c r="A15" s="152">
        <v>8.36</v>
      </c>
      <c r="C15" s="230" t="s">
        <v>589</v>
      </c>
      <c r="D15" s="231">
        <v>-1.1807667804442388</v>
      </c>
      <c r="F15" s="257" t="s">
        <v>680</v>
      </c>
      <c r="G15" s="289">
        <f>AVERAGE('Customer Data Set'!P2:P401)</f>
        <v>24.090050000000016</v>
      </c>
    </row>
    <row r="16" spans="1:7">
      <c r="A16" s="152">
        <v>0.36</v>
      </c>
      <c r="C16" s="230" t="s">
        <v>590</v>
      </c>
      <c r="D16" s="231">
        <v>7.4560304442794115E-2</v>
      </c>
      <c r="F16" s="257" t="s">
        <v>681</v>
      </c>
      <c r="G16" s="290">
        <f>COUNT('Customer Data Set'!P2:P401)</f>
        <v>400</v>
      </c>
    </row>
    <row r="17" spans="1:7">
      <c r="A17" s="152">
        <v>7.55</v>
      </c>
      <c r="C17" s="230" t="s">
        <v>539</v>
      </c>
      <c r="D17" s="231">
        <v>49.779999999999994</v>
      </c>
      <c r="F17" s="257" t="s">
        <v>478</v>
      </c>
      <c r="G17" s="291">
        <v>0.95</v>
      </c>
    </row>
    <row r="18" spans="1:7">
      <c r="A18" s="152">
        <v>16.649999999999999</v>
      </c>
      <c r="C18" s="230" t="s">
        <v>544</v>
      </c>
      <c r="D18" s="231">
        <v>0.2</v>
      </c>
      <c r="F18" s="258"/>
      <c r="G18" s="259"/>
    </row>
    <row r="19" spans="1:7">
      <c r="A19" s="152">
        <v>45.26</v>
      </c>
      <c r="C19" s="230" t="s">
        <v>538</v>
      </c>
      <c r="D19" s="231">
        <v>49.98</v>
      </c>
      <c r="F19" s="255" t="s">
        <v>480</v>
      </c>
      <c r="G19" s="256"/>
    </row>
    <row r="20" spans="1:7">
      <c r="A20" s="152">
        <v>47.76</v>
      </c>
      <c r="C20" s="230" t="s">
        <v>586</v>
      </c>
      <c r="D20" s="231">
        <v>9636.0200000000059</v>
      </c>
      <c r="F20" s="257" t="s">
        <v>481</v>
      </c>
      <c r="G20" s="292">
        <f>G14/SQRT(G16)</f>
        <v>0.70983123942590121</v>
      </c>
    </row>
    <row r="21" spans="1:7">
      <c r="A21" s="152">
        <v>2.65</v>
      </c>
      <c r="C21" s="230" t="s">
        <v>541</v>
      </c>
      <c r="D21" s="231">
        <v>400</v>
      </c>
      <c r="F21" s="257" t="s">
        <v>682</v>
      </c>
      <c r="G21" s="293">
        <f>G16-1</f>
        <v>399</v>
      </c>
    </row>
    <row r="22" spans="1:7">
      <c r="A22" s="152">
        <v>24.29</v>
      </c>
      <c r="F22" s="260" t="s">
        <v>683</v>
      </c>
      <c r="G22" s="294">
        <f>_xlfn.T.INV.2T(1-G17,G21)</f>
        <v>1.9659272959208922</v>
      </c>
    </row>
    <row r="23" spans="1:7">
      <c r="A23" s="152">
        <v>32.71</v>
      </c>
      <c r="F23" s="257" t="s">
        <v>684</v>
      </c>
      <c r="G23" s="294">
        <f>G20*G22</f>
        <v>1.3954766090847375</v>
      </c>
    </row>
    <row r="24" spans="1:7">
      <c r="A24" s="152">
        <v>5.56</v>
      </c>
      <c r="C24" s="247" t="s">
        <v>675</v>
      </c>
      <c r="D24" s="247"/>
      <c r="F24" s="261"/>
      <c r="G24" s="262"/>
    </row>
    <row r="25" spans="1:7">
      <c r="A25" s="152">
        <v>8.52</v>
      </c>
      <c r="C25" s="152" t="s">
        <v>565</v>
      </c>
      <c r="D25" s="152" t="s">
        <v>559</v>
      </c>
      <c r="F25" s="255" t="s">
        <v>490</v>
      </c>
      <c r="G25" s="256"/>
    </row>
    <row r="26" spans="1:7">
      <c r="A26" s="152">
        <v>33.01</v>
      </c>
      <c r="C26" s="150" t="s">
        <v>671</v>
      </c>
      <c r="D26" s="151">
        <f>_xlfn.QUARTILE.EXC(A2:A401,1)</f>
        <v>12.137499999999999</v>
      </c>
      <c r="F26" s="257" t="s">
        <v>685</v>
      </c>
      <c r="G26" s="295">
        <f>G15-G23</f>
        <v>22.694573390915277</v>
      </c>
    </row>
    <row r="27" spans="1:7" ht="17" thickBot="1">
      <c r="A27" s="152">
        <v>45.35</v>
      </c>
      <c r="C27" s="150" t="s">
        <v>672</v>
      </c>
      <c r="D27" s="151">
        <f>_xlfn.QUARTILE.EXC(A2:A401,3)</f>
        <v>36.192500000000003</v>
      </c>
      <c r="F27" s="263" t="s">
        <v>686</v>
      </c>
      <c r="G27" s="296">
        <f>G15+G23</f>
        <v>25.485526609084754</v>
      </c>
    </row>
    <row r="28" spans="1:7">
      <c r="A28" s="152">
        <v>6.9</v>
      </c>
      <c r="C28" s="150" t="s">
        <v>673</v>
      </c>
      <c r="D28" s="151">
        <f>D27-D26</f>
        <v>24.055000000000003</v>
      </c>
    </row>
    <row r="29" spans="1:7">
      <c r="A29" s="152">
        <v>29.77</v>
      </c>
    </row>
    <row r="30" spans="1:7">
      <c r="A30" s="152">
        <v>39.270000000000003</v>
      </c>
    </row>
    <row r="31" spans="1:7">
      <c r="A31" s="152">
        <v>33.85</v>
      </c>
    </row>
    <row r="32" spans="1:7">
      <c r="A32" s="152">
        <v>40.82</v>
      </c>
    </row>
    <row r="33" spans="1:1">
      <c r="A33" s="152">
        <v>13.06</v>
      </c>
    </row>
    <row r="34" spans="1:1">
      <c r="A34" s="152">
        <v>5.43</v>
      </c>
    </row>
    <row r="35" spans="1:1">
      <c r="A35" s="152">
        <v>16.61</v>
      </c>
    </row>
    <row r="36" spans="1:1">
      <c r="A36" s="152">
        <v>9.41</v>
      </c>
    </row>
    <row r="37" spans="1:1">
      <c r="A37" s="152">
        <v>14.58</v>
      </c>
    </row>
    <row r="38" spans="1:1">
      <c r="A38" s="152">
        <v>12</v>
      </c>
    </row>
    <row r="39" spans="1:1">
      <c r="A39" s="152">
        <v>10.08</v>
      </c>
    </row>
    <row r="40" spans="1:1">
      <c r="A40" s="152">
        <v>46.47</v>
      </c>
    </row>
    <row r="41" spans="1:1">
      <c r="A41" s="152">
        <v>14.21</v>
      </c>
    </row>
    <row r="42" spans="1:1">
      <c r="A42" s="152">
        <v>24.92</v>
      </c>
    </row>
    <row r="43" spans="1:1">
      <c r="A43" s="152">
        <v>19.59</v>
      </c>
    </row>
    <row r="44" spans="1:1">
      <c r="A44" s="152">
        <v>39.5</v>
      </c>
    </row>
    <row r="45" spans="1:1">
      <c r="A45" s="152">
        <v>8.99</v>
      </c>
    </row>
    <row r="46" spans="1:1">
      <c r="A46" s="152">
        <v>39.47</v>
      </c>
    </row>
    <row r="47" spans="1:1">
      <c r="A47" s="152">
        <v>49.85</v>
      </c>
    </row>
    <row r="48" spans="1:1">
      <c r="A48" s="152">
        <v>2.5499999999999998</v>
      </c>
    </row>
    <row r="49" spans="1:1">
      <c r="A49" s="152">
        <v>14.78</v>
      </c>
    </row>
    <row r="50" spans="1:1">
      <c r="A50" s="152">
        <v>49.32</v>
      </c>
    </row>
    <row r="51" spans="1:1">
      <c r="A51" s="152">
        <v>8.69</v>
      </c>
    </row>
    <row r="52" spans="1:1">
      <c r="A52" s="152">
        <v>39.36</v>
      </c>
    </row>
    <row r="53" spans="1:1">
      <c r="A53" s="152">
        <v>42.75</v>
      </c>
    </row>
    <row r="54" spans="1:1">
      <c r="A54" s="152">
        <v>45.78</v>
      </c>
    </row>
    <row r="55" spans="1:1">
      <c r="A55" s="152">
        <v>9.35</v>
      </c>
    </row>
    <row r="56" spans="1:1">
      <c r="A56" s="152">
        <v>41.49</v>
      </c>
    </row>
    <row r="57" spans="1:1">
      <c r="A57" s="152">
        <v>16.329999999999998</v>
      </c>
    </row>
    <row r="58" spans="1:1">
      <c r="A58" s="152">
        <v>7.51</v>
      </c>
    </row>
    <row r="59" spans="1:1">
      <c r="A59" s="152">
        <v>40.54</v>
      </c>
    </row>
    <row r="60" spans="1:1">
      <c r="A60" s="152">
        <v>23.31</v>
      </c>
    </row>
    <row r="61" spans="1:1">
      <c r="A61" s="152">
        <v>15.98</v>
      </c>
    </row>
    <row r="62" spans="1:1">
      <c r="A62" s="152">
        <v>39.42</v>
      </c>
    </row>
    <row r="63" spans="1:1">
      <c r="A63" s="152">
        <v>11.62</v>
      </c>
    </row>
    <row r="64" spans="1:1">
      <c r="A64" s="152">
        <v>0.2</v>
      </c>
    </row>
    <row r="65" spans="1:1">
      <c r="A65" s="152">
        <v>15.05</v>
      </c>
    </row>
    <row r="66" spans="1:1">
      <c r="A66" s="152">
        <v>34.89</v>
      </c>
    </row>
    <row r="67" spans="1:1">
      <c r="A67" s="152">
        <v>47.36</v>
      </c>
    </row>
    <row r="68" spans="1:1">
      <c r="A68" s="152">
        <v>6.65</v>
      </c>
    </row>
    <row r="69" spans="1:1">
      <c r="A69" s="152">
        <v>24.26</v>
      </c>
    </row>
    <row r="70" spans="1:1">
      <c r="A70" s="152">
        <v>17.13</v>
      </c>
    </row>
    <row r="71" spans="1:1">
      <c r="A71" s="152">
        <v>42.34</v>
      </c>
    </row>
    <row r="72" spans="1:1">
      <c r="A72" s="152">
        <v>38.200000000000003</v>
      </c>
    </row>
    <row r="73" spans="1:1">
      <c r="A73" s="152">
        <v>1.19</v>
      </c>
    </row>
    <row r="74" spans="1:1">
      <c r="A74" s="152">
        <v>7.68</v>
      </c>
    </row>
    <row r="75" spans="1:1">
      <c r="A75" s="152">
        <v>18.25</v>
      </c>
    </row>
    <row r="76" spans="1:1">
      <c r="A76" s="152">
        <v>29.7</v>
      </c>
    </row>
    <row r="77" spans="1:1">
      <c r="A77" s="152">
        <v>30.29</v>
      </c>
    </row>
    <row r="78" spans="1:1">
      <c r="A78" s="152">
        <v>33.82</v>
      </c>
    </row>
    <row r="79" spans="1:1">
      <c r="A79" s="152">
        <v>26.28</v>
      </c>
    </row>
    <row r="80" spans="1:1">
      <c r="A80" s="152">
        <v>49.46</v>
      </c>
    </row>
    <row r="81" spans="1:1">
      <c r="A81" s="152">
        <v>39.4</v>
      </c>
    </row>
    <row r="82" spans="1:1">
      <c r="A82" s="152">
        <v>16.68</v>
      </c>
    </row>
    <row r="83" spans="1:1">
      <c r="A83" s="152">
        <v>44.69</v>
      </c>
    </row>
    <row r="84" spans="1:1">
      <c r="A84" s="152">
        <v>40.9</v>
      </c>
    </row>
    <row r="85" spans="1:1">
      <c r="A85" s="152">
        <v>24.44</v>
      </c>
    </row>
    <row r="86" spans="1:1">
      <c r="A86" s="152">
        <v>14.32</v>
      </c>
    </row>
    <row r="87" spans="1:1">
      <c r="A87" s="152">
        <v>6.77</v>
      </c>
    </row>
    <row r="88" spans="1:1">
      <c r="A88" s="152">
        <v>27.98</v>
      </c>
    </row>
    <row r="89" spans="1:1">
      <c r="A89" s="152">
        <v>34.700000000000003</v>
      </c>
    </row>
    <row r="90" spans="1:1">
      <c r="A90" s="152">
        <v>17.45</v>
      </c>
    </row>
    <row r="91" spans="1:1">
      <c r="A91" s="152">
        <v>0.28000000000000003</v>
      </c>
    </row>
    <row r="92" spans="1:1">
      <c r="A92" s="152">
        <v>6.28</v>
      </c>
    </row>
    <row r="93" spans="1:1">
      <c r="A93" s="152">
        <v>31.27</v>
      </c>
    </row>
    <row r="94" spans="1:1">
      <c r="A94" s="152">
        <v>32.9</v>
      </c>
    </row>
    <row r="95" spans="1:1">
      <c r="A95" s="152">
        <v>28.59</v>
      </c>
    </row>
    <row r="96" spans="1:1">
      <c r="A96" s="152">
        <v>26.25</v>
      </c>
    </row>
    <row r="97" spans="1:1">
      <c r="A97" s="152">
        <v>40.65</v>
      </c>
    </row>
    <row r="98" spans="1:1">
      <c r="A98" s="152">
        <v>38.22</v>
      </c>
    </row>
    <row r="99" spans="1:1">
      <c r="A99" s="152">
        <v>28.47</v>
      </c>
    </row>
    <row r="100" spans="1:1">
      <c r="A100" s="152">
        <v>40.64</v>
      </c>
    </row>
    <row r="101" spans="1:1">
      <c r="A101" s="152">
        <v>14.32</v>
      </c>
    </row>
    <row r="102" spans="1:1">
      <c r="A102" s="152">
        <v>42.2</v>
      </c>
    </row>
    <row r="103" spans="1:1">
      <c r="A103" s="152">
        <v>35.36</v>
      </c>
    </row>
    <row r="104" spans="1:1">
      <c r="A104" s="152">
        <v>17.98</v>
      </c>
    </row>
    <row r="105" spans="1:1">
      <c r="A105" s="152">
        <v>26.27</v>
      </c>
    </row>
    <row r="106" spans="1:1">
      <c r="A106" s="152">
        <v>25.51</v>
      </c>
    </row>
    <row r="107" spans="1:1">
      <c r="A107" s="152">
        <v>36.020000000000003</v>
      </c>
    </row>
    <row r="108" spans="1:1">
      <c r="A108" s="152">
        <v>35.54</v>
      </c>
    </row>
    <row r="109" spans="1:1">
      <c r="A109" s="152">
        <v>30.81</v>
      </c>
    </row>
    <row r="110" spans="1:1">
      <c r="A110" s="152">
        <v>1.36</v>
      </c>
    </row>
    <row r="111" spans="1:1">
      <c r="A111" s="152">
        <v>4.16</v>
      </c>
    </row>
    <row r="112" spans="1:1">
      <c r="A112" s="152">
        <v>30.55</v>
      </c>
    </row>
    <row r="113" spans="1:1">
      <c r="A113" s="152">
        <v>11.52</v>
      </c>
    </row>
    <row r="114" spans="1:1">
      <c r="A114" s="152">
        <v>39.07</v>
      </c>
    </row>
    <row r="115" spans="1:1">
      <c r="A115" s="152">
        <v>31.11</v>
      </c>
    </row>
    <row r="116" spans="1:1">
      <c r="A116" s="152">
        <v>18.3</v>
      </c>
    </row>
    <row r="117" spans="1:1">
      <c r="A117" s="152">
        <v>30.59</v>
      </c>
    </row>
    <row r="118" spans="1:1">
      <c r="A118" s="152">
        <v>47.3</v>
      </c>
    </row>
    <row r="119" spans="1:1">
      <c r="A119" s="152">
        <v>23.54</v>
      </c>
    </row>
    <row r="120" spans="1:1">
      <c r="A120" s="152">
        <v>37.21</v>
      </c>
    </row>
    <row r="121" spans="1:1">
      <c r="A121" s="152">
        <v>3.82</v>
      </c>
    </row>
    <row r="122" spans="1:1">
      <c r="A122" s="152">
        <v>17.12</v>
      </c>
    </row>
    <row r="123" spans="1:1">
      <c r="A123" s="152">
        <v>10.18</v>
      </c>
    </row>
    <row r="124" spans="1:1">
      <c r="A124" s="152">
        <v>36.22</v>
      </c>
    </row>
    <row r="125" spans="1:1">
      <c r="A125" s="152">
        <v>6.8</v>
      </c>
    </row>
    <row r="126" spans="1:1">
      <c r="A126" s="152">
        <v>39.090000000000003</v>
      </c>
    </row>
    <row r="127" spans="1:1">
      <c r="A127" s="152">
        <v>12.43</v>
      </c>
    </row>
    <row r="128" spans="1:1">
      <c r="A128" s="152">
        <v>6.35</v>
      </c>
    </row>
    <row r="129" spans="1:1">
      <c r="A129" s="152">
        <v>24.07</v>
      </c>
    </row>
    <row r="130" spans="1:1">
      <c r="A130" s="152">
        <v>42.47</v>
      </c>
    </row>
    <row r="131" spans="1:1">
      <c r="A131" s="152">
        <v>33.19</v>
      </c>
    </row>
    <row r="132" spans="1:1">
      <c r="A132" s="152">
        <v>3.4</v>
      </c>
    </row>
    <row r="133" spans="1:1">
      <c r="A133" s="152">
        <v>23.58</v>
      </c>
    </row>
    <row r="134" spans="1:1">
      <c r="A134" s="152">
        <v>4.42</v>
      </c>
    </row>
    <row r="135" spans="1:1">
      <c r="A135" s="152">
        <v>17.22</v>
      </c>
    </row>
    <row r="136" spans="1:1">
      <c r="A136" s="152">
        <v>43.86</v>
      </c>
    </row>
    <row r="137" spans="1:1">
      <c r="A137" s="152">
        <v>18.16</v>
      </c>
    </row>
    <row r="138" spans="1:1">
      <c r="A138" s="152">
        <v>45.01</v>
      </c>
    </row>
    <row r="139" spans="1:1">
      <c r="A139" s="152">
        <v>13.46</v>
      </c>
    </row>
    <row r="140" spans="1:1">
      <c r="A140" s="152">
        <v>0.96</v>
      </c>
    </row>
    <row r="141" spans="1:1">
      <c r="A141" s="152">
        <v>21.66</v>
      </c>
    </row>
    <row r="142" spans="1:1">
      <c r="A142" s="152">
        <v>44.01</v>
      </c>
    </row>
    <row r="143" spans="1:1">
      <c r="A143" s="152">
        <v>18.489999999999998</v>
      </c>
    </row>
    <row r="144" spans="1:1">
      <c r="A144" s="152">
        <v>2.58</v>
      </c>
    </row>
    <row r="145" spans="1:1">
      <c r="A145" s="152">
        <v>10.42</v>
      </c>
    </row>
    <row r="146" spans="1:1">
      <c r="A146" s="152">
        <v>0.95</v>
      </c>
    </row>
    <row r="147" spans="1:1">
      <c r="A147" s="152">
        <v>48.12</v>
      </c>
    </row>
    <row r="148" spans="1:1">
      <c r="A148" s="152">
        <v>30.72</v>
      </c>
    </row>
    <row r="149" spans="1:1">
      <c r="A149" s="152">
        <v>29.08</v>
      </c>
    </row>
    <row r="150" spans="1:1">
      <c r="A150" s="152">
        <v>26.95</v>
      </c>
    </row>
    <row r="151" spans="1:1">
      <c r="A151" s="152">
        <v>39.64</v>
      </c>
    </row>
    <row r="152" spans="1:1">
      <c r="A152" s="152">
        <v>8.81</v>
      </c>
    </row>
    <row r="153" spans="1:1">
      <c r="A153" s="152">
        <v>4.95</v>
      </c>
    </row>
    <row r="154" spans="1:1">
      <c r="A154" s="152">
        <v>48.42</v>
      </c>
    </row>
    <row r="155" spans="1:1">
      <c r="A155" s="152">
        <v>33.869999999999997</v>
      </c>
    </row>
    <row r="156" spans="1:1">
      <c r="A156" s="152">
        <v>8.09</v>
      </c>
    </row>
    <row r="157" spans="1:1">
      <c r="A157" s="152">
        <v>35.85</v>
      </c>
    </row>
    <row r="158" spans="1:1">
      <c r="A158" s="152">
        <v>39.96</v>
      </c>
    </row>
    <row r="159" spans="1:1">
      <c r="A159" s="152">
        <v>7.39</v>
      </c>
    </row>
    <row r="160" spans="1:1">
      <c r="A160" s="152">
        <v>17.54</v>
      </c>
    </row>
    <row r="161" spans="1:1">
      <c r="A161" s="152">
        <v>3.66</v>
      </c>
    </row>
    <row r="162" spans="1:1">
      <c r="A162" s="152">
        <v>9.8699999999999992</v>
      </c>
    </row>
    <row r="163" spans="1:1">
      <c r="A163" s="152">
        <v>27.69</v>
      </c>
    </row>
    <row r="164" spans="1:1">
      <c r="A164" s="152">
        <v>46.75</v>
      </c>
    </row>
    <row r="165" spans="1:1">
      <c r="A165" s="152">
        <v>28.99</v>
      </c>
    </row>
    <row r="166" spans="1:1">
      <c r="A166" s="152">
        <v>9.48</v>
      </c>
    </row>
    <row r="167" spans="1:1">
      <c r="A167" s="152">
        <v>18.38</v>
      </c>
    </row>
    <row r="168" spans="1:1">
      <c r="A168" s="152">
        <v>0.64</v>
      </c>
    </row>
    <row r="169" spans="1:1">
      <c r="A169" s="152">
        <v>13.09</v>
      </c>
    </row>
    <row r="170" spans="1:1">
      <c r="A170" s="152">
        <v>5.94</v>
      </c>
    </row>
    <row r="171" spans="1:1">
      <c r="A171" s="152">
        <v>12.94</v>
      </c>
    </row>
    <row r="172" spans="1:1">
      <c r="A172" s="152">
        <v>32.119999999999997</v>
      </c>
    </row>
    <row r="173" spans="1:1">
      <c r="A173" s="152">
        <v>23.15</v>
      </c>
    </row>
    <row r="174" spans="1:1">
      <c r="A174" s="152">
        <v>29.81</v>
      </c>
    </row>
    <row r="175" spans="1:1">
      <c r="A175" s="152">
        <v>25.65</v>
      </c>
    </row>
    <row r="176" spans="1:1">
      <c r="A176" s="152">
        <v>24.44</v>
      </c>
    </row>
    <row r="177" spans="1:1">
      <c r="A177" s="152">
        <v>7.15</v>
      </c>
    </row>
    <row r="178" spans="1:1">
      <c r="A178" s="152">
        <v>25.01</v>
      </c>
    </row>
    <row r="179" spans="1:1">
      <c r="A179" s="152">
        <v>4.84</v>
      </c>
    </row>
    <row r="180" spans="1:1">
      <c r="A180" s="152">
        <v>49.98</v>
      </c>
    </row>
    <row r="181" spans="1:1">
      <c r="A181" s="152">
        <v>43.38</v>
      </c>
    </row>
    <row r="182" spans="1:1">
      <c r="A182" s="152">
        <v>27.38</v>
      </c>
    </row>
    <row r="183" spans="1:1">
      <c r="A183" s="152">
        <v>4.24</v>
      </c>
    </row>
    <row r="184" spans="1:1">
      <c r="A184" s="152">
        <v>32.19</v>
      </c>
    </row>
    <row r="185" spans="1:1">
      <c r="A185" s="152">
        <v>39.909999999999997</v>
      </c>
    </row>
    <row r="186" spans="1:1">
      <c r="A186" s="152">
        <v>7.33</v>
      </c>
    </row>
    <row r="187" spans="1:1">
      <c r="A187" s="152">
        <v>16.32</v>
      </c>
    </row>
    <row r="188" spans="1:1">
      <c r="A188" s="152">
        <v>48.25</v>
      </c>
    </row>
    <row r="189" spans="1:1">
      <c r="A189" s="152">
        <v>40.25</v>
      </c>
    </row>
    <row r="190" spans="1:1">
      <c r="A190" s="152">
        <v>1.44</v>
      </c>
    </row>
    <row r="191" spans="1:1">
      <c r="A191" s="152">
        <v>38.72</v>
      </c>
    </row>
    <row r="192" spans="1:1">
      <c r="A192" s="152">
        <v>9.57</v>
      </c>
    </row>
    <row r="193" spans="1:1">
      <c r="A193" s="152">
        <v>26.65</v>
      </c>
    </row>
    <row r="194" spans="1:1">
      <c r="A194" s="152">
        <v>3.27</v>
      </c>
    </row>
    <row r="195" spans="1:1">
      <c r="A195" s="152">
        <v>39.119999999999997</v>
      </c>
    </row>
    <row r="196" spans="1:1">
      <c r="A196" s="152">
        <v>21.42</v>
      </c>
    </row>
    <row r="197" spans="1:1">
      <c r="A197" s="152">
        <v>34.22</v>
      </c>
    </row>
    <row r="198" spans="1:1">
      <c r="A198" s="152">
        <v>13.24</v>
      </c>
    </row>
    <row r="199" spans="1:1">
      <c r="A199" s="152">
        <v>27.53</v>
      </c>
    </row>
    <row r="200" spans="1:1">
      <c r="A200" s="152">
        <v>11.62</v>
      </c>
    </row>
    <row r="201" spans="1:1">
      <c r="A201" s="152">
        <v>37.57</v>
      </c>
    </row>
    <row r="202" spans="1:1">
      <c r="A202" s="152">
        <v>9.17</v>
      </c>
    </row>
    <row r="203" spans="1:1">
      <c r="A203" s="152">
        <v>17.309999999999999</v>
      </c>
    </row>
    <row r="204" spans="1:1">
      <c r="A204" s="152">
        <v>14.67</v>
      </c>
    </row>
    <row r="205" spans="1:1">
      <c r="A205" s="152">
        <v>40.090000000000003</v>
      </c>
    </row>
    <row r="206" spans="1:1">
      <c r="A206" s="152">
        <v>13.21</v>
      </c>
    </row>
    <row r="207" spans="1:1">
      <c r="A207" s="152">
        <v>12.94</v>
      </c>
    </row>
    <row r="208" spans="1:1">
      <c r="A208" s="152">
        <v>42.3</v>
      </c>
    </row>
    <row r="209" spans="1:1">
      <c r="A209" s="152">
        <v>21.8</v>
      </c>
    </row>
    <row r="210" spans="1:1">
      <c r="A210" s="152">
        <v>17.52</v>
      </c>
    </row>
    <row r="211" spans="1:1">
      <c r="A211" s="152">
        <v>10.57</v>
      </c>
    </row>
    <row r="212" spans="1:1">
      <c r="A212" s="152">
        <v>22.7</v>
      </c>
    </row>
    <row r="213" spans="1:1">
      <c r="A213" s="152">
        <v>3.05</v>
      </c>
    </row>
    <row r="214" spans="1:1">
      <c r="A214" s="152">
        <v>28.49</v>
      </c>
    </row>
    <row r="215" spans="1:1">
      <c r="A215" s="152">
        <v>10.23</v>
      </c>
    </row>
    <row r="216" spans="1:1">
      <c r="A216" s="152">
        <v>11.02</v>
      </c>
    </row>
    <row r="217" spans="1:1">
      <c r="A217" s="152">
        <v>16.57</v>
      </c>
    </row>
    <row r="218" spans="1:1">
      <c r="A218" s="152">
        <v>36.200000000000003</v>
      </c>
    </row>
    <row r="219" spans="1:1">
      <c r="A219" s="152">
        <v>20.94</v>
      </c>
    </row>
    <row r="220" spans="1:1">
      <c r="A220" s="152">
        <v>21.2</v>
      </c>
    </row>
    <row r="221" spans="1:1">
      <c r="A221" s="152">
        <v>44.78</v>
      </c>
    </row>
    <row r="222" spans="1:1">
      <c r="A222" s="152">
        <v>48.75</v>
      </c>
    </row>
    <row r="223" spans="1:1">
      <c r="A223" s="152">
        <v>35.9</v>
      </c>
    </row>
    <row r="224" spans="1:1">
      <c r="A224" s="152">
        <v>16.350000000000001</v>
      </c>
    </row>
    <row r="225" spans="1:1">
      <c r="A225" s="152">
        <v>24.9</v>
      </c>
    </row>
    <row r="226" spans="1:1">
      <c r="A226" s="152">
        <v>11.72</v>
      </c>
    </row>
    <row r="227" spans="1:1">
      <c r="A227" s="152">
        <v>40.159999999999997</v>
      </c>
    </row>
    <row r="228" spans="1:1">
      <c r="A228" s="152">
        <v>22.22</v>
      </c>
    </row>
    <row r="229" spans="1:1">
      <c r="A229" s="152">
        <v>16.2</v>
      </c>
    </row>
    <row r="230" spans="1:1">
      <c r="A230" s="152">
        <v>38.11</v>
      </c>
    </row>
    <row r="231" spans="1:1">
      <c r="A231" s="152">
        <v>29.81</v>
      </c>
    </row>
    <row r="232" spans="1:1">
      <c r="A232" s="152">
        <v>3.71</v>
      </c>
    </row>
    <row r="233" spans="1:1">
      <c r="A233" s="152">
        <v>2.17</v>
      </c>
    </row>
    <row r="234" spans="1:1">
      <c r="A234" s="152">
        <v>0.53</v>
      </c>
    </row>
    <row r="235" spans="1:1">
      <c r="A235" s="152">
        <v>31.28</v>
      </c>
    </row>
    <row r="236" spans="1:1">
      <c r="A236" s="152">
        <v>37.659999999999997</v>
      </c>
    </row>
    <row r="237" spans="1:1">
      <c r="A237" s="152">
        <v>45.48</v>
      </c>
    </row>
    <row r="238" spans="1:1">
      <c r="A238" s="152">
        <v>15.47</v>
      </c>
    </row>
    <row r="239" spans="1:1">
      <c r="A239" s="152">
        <v>26.97</v>
      </c>
    </row>
    <row r="240" spans="1:1">
      <c r="A240" s="152">
        <v>34.06</v>
      </c>
    </row>
    <row r="241" spans="1:1">
      <c r="A241" s="152">
        <v>21.6</v>
      </c>
    </row>
    <row r="242" spans="1:1">
      <c r="A242" s="152">
        <v>6.02</v>
      </c>
    </row>
    <row r="243" spans="1:1">
      <c r="A243" s="152">
        <v>28.76</v>
      </c>
    </row>
    <row r="244" spans="1:1">
      <c r="A244" s="152">
        <v>22.01</v>
      </c>
    </row>
    <row r="245" spans="1:1">
      <c r="A245" s="152">
        <v>40.270000000000003</v>
      </c>
    </row>
    <row r="246" spans="1:1">
      <c r="A246" s="152">
        <v>1.29</v>
      </c>
    </row>
    <row r="247" spans="1:1">
      <c r="A247" s="152">
        <v>37.299999999999997</v>
      </c>
    </row>
    <row r="248" spans="1:1">
      <c r="A248" s="152">
        <v>8.31</v>
      </c>
    </row>
    <row r="249" spans="1:1">
      <c r="A249" s="152">
        <v>3.17</v>
      </c>
    </row>
    <row r="250" spans="1:1">
      <c r="A250" s="152">
        <v>2.04</v>
      </c>
    </row>
    <row r="251" spans="1:1">
      <c r="A251" s="152">
        <v>42.38</v>
      </c>
    </row>
    <row r="252" spans="1:1">
      <c r="A252" s="152">
        <v>34.729999999999997</v>
      </c>
    </row>
    <row r="253" spans="1:1">
      <c r="A253" s="152">
        <v>4.72</v>
      </c>
    </row>
    <row r="254" spans="1:1">
      <c r="A254" s="152">
        <v>46.96</v>
      </c>
    </row>
    <row r="255" spans="1:1">
      <c r="A255" s="152">
        <v>12.11</v>
      </c>
    </row>
    <row r="256" spans="1:1">
      <c r="A256" s="152">
        <v>22.97</v>
      </c>
    </row>
    <row r="257" spans="1:1">
      <c r="A257" s="152">
        <v>15.56</v>
      </c>
    </row>
    <row r="258" spans="1:1">
      <c r="A258" s="152">
        <v>31.26</v>
      </c>
    </row>
    <row r="259" spans="1:1">
      <c r="A259" s="152">
        <v>39.380000000000003</v>
      </c>
    </row>
    <row r="260" spans="1:1">
      <c r="A260" s="152">
        <v>21.94</v>
      </c>
    </row>
    <row r="261" spans="1:1">
      <c r="A261" s="152">
        <v>34.44</v>
      </c>
    </row>
    <row r="262" spans="1:1">
      <c r="A262" s="152">
        <v>13.16</v>
      </c>
    </row>
    <row r="263" spans="1:1">
      <c r="A263" s="152">
        <v>30</v>
      </c>
    </row>
    <row r="264" spans="1:1">
      <c r="A264" s="152">
        <v>20.28</v>
      </c>
    </row>
    <row r="265" spans="1:1">
      <c r="A265" s="152">
        <v>4.38</v>
      </c>
    </row>
    <row r="266" spans="1:1">
      <c r="A266" s="152">
        <v>16.79</v>
      </c>
    </row>
    <row r="267" spans="1:1">
      <c r="A267" s="152">
        <v>10.68</v>
      </c>
    </row>
    <row r="268" spans="1:1">
      <c r="A268" s="152">
        <v>10.32</v>
      </c>
    </row>
    <row r="269" spans="1:1">
      <c r="A269" s="152">
        <v>14.17</v>
      </c>
    </row>
    <row r="270" spans="1:1">
      <c r="A270" s="152">
        <v>18.96</v>
      </c>
    </row>
    <row r="271" spans="1:1">
      <c r="A271" s="152">
        <v>14.42</v>
      </c>
    </row>
    <row r="272" spans="1:1">
      <c r="A272" s="152">
        <v>14.23</v>
      </c>
    </row>
    <row r="273" spans="1:1">
      <c r="A273" s="152">
        <v>36.380000000000003</v>
      </c>
    </row>
    <row r="274" spans="1:1">
      <c r="A274" s="152">
        <v>42.92</v>
      </c>
    </row>
    <row r="275" spans="1:1">
      <c r="A275" s="152">
        <v>17.79</v>
      </c>
    </row>
    <row r="276" spans="1:1">
      <c r="A276" s="152">
        <v>13.38</v>
      </c>
    </row>
    <row r="277" spans="1:1">
      <c r="A277" s="152">
        <v>11.34</v>
      </c>
    </row>
    <row r="278" spans="1:1">
      <c r="A278" s="152">
        <v>8.82</v>
      </c>
    </row>
    <row r="279" spans="1:1">
      <c r="A279" s="152">
        <v>47.59</v>
      </c>
    </row>
    <row r="280" spans="1:1">
      <c r="A280" s="152">
        <v>0.89</v>
      </c>
    </row>
    <row r="281" spans="1:1">
      <c r="A281" s="152">
        <v>40.78</v>
      </c>
    </row>
    <row r="282" spans="1:1">
      <c r="A282" s="152">
        <v>24.29</v>
      </c>
    </row>
    <row r="283" spans="1:1">
      <c r="A283" s="152">
        <v>30.55</v>
      </c>
    </row>
    <row r="284" spans="1:1">
      <c r="A284" s="152">
        <v>45.17</v>
      </c>
    </row>
    <row r="285" spans="1:1">
      <c r="A285" s="152">
        <v>40.92</v>
      </c>
    </row>
    <row r="286" spans="1:1">
      <c r="A286" s="152">
        <v>3.3</v>
      </c>
    </row>
    <row r="287" spans="1:1">
      <c r="A287" s="152">
        <v>33.17</v>
      </c>
    </row>
    <row r="288" spans="1:1">
      <c r="A288" s="152">
        <v>19.37</v>
      </c>
    </row>
    <row r="289" spans="1:1">
      <c r="A289" s="152">
        <v>49.94</v>
      </c>
    </row>
    <row r="290" spans="1:1">
      <c r="A290" s="152">
        <v>8.9</v>
      </c>
    </row>
    <row r="291" spans="1:1">
      <c r="A291" s="152">
        <v>26.27</v>
      </c>
    </row>
    <row r="292" spans="1:1">
      <c r="A292" s="152">
        <v>46.29</v>
      </c>
    </row>
    <row r="293" spans="1:1">
      <c r="A293" s="152">
        <v>43.2</v>
      </c>
    </row>
    <row r="294" spans="1:1">
      <c r="A294" s="152">
        <v>28</v>
      </c>
    </row>
    <row r="295" spans="1:1">
      <c r="A295" s="152">
        <v>29.14</v>
      </c>
    </row>
    <row r="296" spans="1:1">
      <c r="A296" s="152">
        <v>34.770000000000003</v>
      </c>
    </row>
    <row r="297" spans="1:1">
      <c r="A297" s="152">
        <v>8.7899999999999991</v>
      </c>
    </row>
    <row r="298" spans="1:1">
      <c r="A298" s="152">
        <v>33.79</v>
      </c>
    </row>
    <row r="299" spans="1:1">
      <c r="A299" s="152">
        <v>20.71</v>
      </c>
    </row>
    <row r="300" spans="1:1">
      <c r="A300" s="152">
        <v>25.96</v>
      </c>
    </row>
    <row r="301" spans="1:1">
      <c r="A301" s="152">
        <v>5.42</v>
      </c>
    </row>
    <row r="302" spans="1:1">
      <c r="A302" s="152">
        <v>32.5</v>
      </c>
    </row>
    <row r="303" spans="1:1">
      <c r="A303" s="152">
        <v>2.25</v>
      </c>
    </row>
    <row r="304" spans="1:1">
      <c r="A304" s="152">
        <v>41.88</v>
      </c>
    </row>
    <row r="305" spans="1:1">
      <c r="A305" s="152">
        <v>40.64</v>
      </c>
    </row>
    <row r="306" spans="1:1">
      <c r="A306" s="152">
        <v>21.04</v>
      </c>
    </row>
    <row r="307" spans="1:1">
      <c r="A307" s="152">
        <v>17.829999999999998</v>
      </c>
    </row>
    <row r="308" spans="1:1">
      <c r="A308" s="152">
        <v>13.59</v>
      </c>
    </row>
    <row r="309" spans="1:1">
      <c r="A309" s="152">
        <v>48.34</v>
      </c>
    </row>
    <row r="310" spans="1:1">
      <c r="A310" s="152">
        <v>38.43</v>
      </c>
    </row>
    <row r="311" spans="1:1">
      <c r="A311" s="152">
        <v>7.31</v>
      </c>
    </row>
    <row r="312" spans="1:1">
      <c r="A312" s="152">
        <v>45.92</v>
      </c>
    </row>
    <row r="313" spans="1:1">
      <c r="A313" s="152">
        <v>31.27</v>
      </c>
    </row>
    <row r="314" spans="1:1">
      <c r="A314" s="152">
        <v>6.41</v>
      </c>
    </row>
    <row r="315" spans="1:1">
      <c r="A315" s="152">
        <v>27.38</v>
      </c>
    </row>
    <row r="316" spans="1:1">
      <c r="A316" s="152">
        <v>6.69</v>
      </c>
    </row>
    <row r="317" spans="1:1">
      <c r="A317" s="152">
        <v>5.83</v>
      </c>
    </row>
    <row r="318" spans="1:1">
      <c r="A318" s="152">
        <v>25.12</v>
      </c>
    </row>
    <row r="319" spans="1:1">
      <c r="A319" s="152">
        <v>47.37</v>
      </c>
    </row>
    <row r="320" spans="1:1">
      <c r="A320" s="152">
        <v>12.69</v>
      </c>
    </row>
    <row r="321" spans="1:1">
      <c r="A321" s="152">
        <v>23.22</v>
      </c>
    </row>
    <row r="322" spans="1:1">
      <c r="A322" s="152">
        <v>32.46</v>
      </c>
    </row>
    <row r="323" spans="1:1">
      <c r="A323" s="152">
        <v>10.53</v>
      </c>
    </row>
    <row r="324" spans="1:1">
      <c r="A324" s="152">
        <v>13.09</v>
      </c>
    </row>
    <row r="325" spans="1:1">
      <c r="A325" s="152">
        <v>15.89</v>
      </c>
    </row>
    <row r="326" spans="1:1">
      <c r="A326" s="152">
        <v>19.899999999999999</v>
      </c>
    </row>
    <row r="327" spans="1:1">
      <c r="A327" s="152">
        <v>34.83</v>
      </c>
    </row>
    <row r="328" spans="1:1">
      <c r="A328" s="152">
        <v>3.64</v>
      </c>
    </row>
    <row r="329" spans="1:1">
      <c r="A329" s="152">
        <v>40.75</v>
      </c>
    </row>
    <row r="330" spans="1:1">
      <c r="A330" s="152">
        <v>26</v>
      </c>
    </row>
    <row r="331" spans="1:1">
      <c r="A331" s="152">
        <v>49.71</v>
      </c>
    </row>
    <row r="332" spans="1:1">
      <c r="A332" s="152">
        <v>22.14</v>
      </c>
    </row>
    <row r="333" spans="1:1">
      <c r="A333" s="152">
        <v>34.54</v>
      </c>
    </row>
    <row r="334" spans="1:1">
      <c r="A334" s="152">
        <v>41.5</v>
      </c>
    </row>
    <row r="335" spans="1:1">
      <c r="A335" s="152">
        <v>32.47</v>
      </c>
    </row>
    <row r="336" spans="1:1">
      <c r="A336" s="152">
        <v>45.49</v>
      </c>
    </row>
    <row r="337" spans="1:1">
      <c r="A337" s="152">
        <v>23.63</v>
      </c>
    </row>
    <row r="338" spans="1:1">
      <c r="A338" s="152">
        <v>2.09</v>
      </c>
    </row>
    <row r="339" spans="1:1">
      <c r="A339" s="152">
        <v>36.25</v>
      </c>
    </row>
    <row r="340" spans="1:1">
      <c r="A340" s="152">
        <v>8.57</v>
      </c>
    </row>
    <row r="341" spans="1:1">
      <c r="A341" s="152">
        <v>39.840000000000003</v>
      </c>
    </row>
    <row r="342" spans="1:1">
      <c r="A342" s="152">
        <v>15.75</v>
      </c>
    </row>
    <row r="343" spans="1:1">
      <c r="A343" s="152">
        <v>14.76</v>
      </c>
    </row>
    <row r="344" spans="1:1">
      <c r="A344" s="152">
        <v>12.62</v>
      </c>
    </row>
    <row r="345" spans="1:1">
      <c r="A345" s="152">
        <v>12.31</v>
      </c>
    </row>
    <row r="346" spans="1:1">
      <c r="A346" s="152">
        <v>29.91</v>
      </c>
    </row>
    <row r="347" spans="1:1">
      <c r="A347" s="152">
        <v>23.75</v>
      </c>
    </row>
    <row r="348" spans="1:1">
      <c r="A348" s="152">
        <v>30.94</v>
      </c>
    </row>
    <row r="349" spans="1:1">
      <c r="A349" s="152">
        <v>1.58</v>
      </c>
    </row>
    <row r="350" spans="1:1">
      <c r="A350" s="152">
        <v>32.520000000000003</v>
      </c>
    </row>
    <row r="351" spans="1:1">
      <c r="A351" s="152">
        <v>47.74</v>
      </c>
    </row>
    <row r="352" spans="1:1">
      <c r="A352" s="152">
        <v>32.270000000000003</v>
      </c>
    </row>
    <row r="353" spans="1:1">
      <c r="A353" s="152">
        <v>29.48</v>
      </c>
    </row>
    <row r="354" spans="1:1">
      <c r="A354" s="152">
        <v>25.37</v>
      </c>
    </row>
    <row r="355" spans="1:1">
      <c r="A355" s="152">
        <v>27.57</v>
      </c>
    </row>
    <row r="356" spans="1:1">
      <c r="A356" s="152">
        <v>35.06</v>
      </c>
    </row>
    <row r="357" spans="1:1">
      <c r="A357" s="152">
        <v>37.06</v>
      </c>
    </row>
    <row r="358" spans="1:1">
      <c r="A358" s="152">
        <v>2.38</v>
      </c>
    </row>
    <row r="359" spans="1:1">
      <c r="A359" s="152">
        <v>44.91</v>
      </c>
    </row>
    <row r="360" spans="1:1">
      <c r="A360" s="152">
        <v>30.51</v>
      </c>
    </row>
    <row r="361" spans="1:1">
      <c r="A361" s="152">
        <v>44.07</v>
      </c>
    </row>
    <row r="362" spans="1:1">
      <c r="A362" s="152">
        <v>36.17</v>
      </c>
    </row>
    <row r="363" spans="1:1">
      <c r="A363" s="152">
        <v>23.29</v>
      </c>
    </row>
    <row r="364" spans="1:1">
      <c r="A364" s="152">
        <v>21.56</v>
      </c>
    </row>
    <row r="365" spans="1:1">
      <c r="A365" s="152">
        <v>7.5</v>
      </c>
    </row>
    <row r="366" spans="1:1">
      <c r="A366" s="152">
        <v>23.87</v>
      </c>
    </row>
    <row r="367" spans="1:1">
      <c r="A367" s="152">
        <v>47.71</v>
      </c>
    </row>
    <row r="368" spans="1:1">
      <c r="A368" s="152">
        <v>17.5</v>
      </c>
    </row>
    <row r="369" spans="1:1">
      <c r="A369" s="152">
        <v>18.399999999999999</v>
      </c>
    </row>
    <row r="370" spans="1:1">
      <c r="A370" s="152">
        <v>2.16</v>
      </c>
    </row>
    <row r="371" spans="1:1">
      <c r="A371" s="152">
        <v>44.71</v>
      </c>
    </row>
    <row r="372" spans="1:1">
      <c r="A372" s="152">
        <v>49.02</v>
      </c>
    </row>
    <row r="373" spans="1:1">
      <c r="A373" s="152">
        <v>40.25</v>
      </c>
    </row>
    <row r="374" spans="1:1">
      <c r="A374" s="152">
        <v>42.84</v>
      </c>
    </row>
    <row r="375" spans="1:1">
      <c r="A375" s="152">
        <v>6.37</v>
      </c>
    </row>
    <row r="376" spans="1:1">
      <c r="A376" s="152">
        <v>20.399999999999999</v>
      </c>
    </row>
    <row r="377" spans="1:1">
      <c r="A377" s="152">
        <v>44.33</v>
      </c>
    </row>
    <row r="378" spans="1:1">
      <c r="A378" s="152">
        <v>23.91</v>
      </c>
    </row>
    <row r="379" spans="1:1">
      <c r="A379" s="152">
        <v>35.979999999999997</v>
      </c>
    </row>
    <row r="380" spans="1:1">
      <c r="A380" s="152">
        <v>19.28</v>
      </c>
    </row>
    <row r="381" spans="1:1">
      <c r="A381" s="152">
        <v>26.39</v>
      </c>
    </row>
    <row r="382" spans="1:1">
      <c r="A382" s="152">
        <v>12.12</v>
      </c>
    </row>
    <row r="383" spans="1:1">
      <c r="A383" s="152">
        <v>24.45</v>
      </c>
    </row>
    <row r="384" spans="1:1">
      <c r="A384" s="152">
        <v>22.65</v>
      </c>
    </row>
    <row r="385" spans="1:1">
      <c r="A385" s="152">
        <v>25.12</v>
      </c>
    </row>
    <row r="386" spans="1:1">
      <c r="A386" s="152">
        <v>38.700000000000003</v>
      </c>
    </row>
    <row r="387" spans="1:1">
      <c r="A387" s="152">
        <v>35.56</v>
      </c>
    </row>
    <row r="388" spans="1:1">
      <c r="A388" s="152">
        <v>19.690000000000001</v>
      </c>
    </row>
    <row r="389" spans="1:1">
      <c r="A389" s="152">
        <v>14.03</v>
      </c>
    </row>
    <row r="390" spans="1:1">
      <c r="A390" s="152">
        <v>25.81</v>
      </c>
    </row>
    <row r="391" spans="1:1">
      <c r="A391" s="152">
        <v>18.260000000000002</v>
      </c>
    </row>
    <row r="392" spans="1:1">
      <c r="A392" s="152">
        <v>19.690000000000001</v>
      </c>
    </row>
    <row r="393" spans="1:1">
      <c r="A393" s="152">
        <v>42.22</v>
      </c>
    </row>
    <row r="394" spans="1:1">
      <c r="A394" s="152">
        <v>12.29</v>
      </c>
    </row>
    <row r="395" spans="1:1">
      <c r="A395" s="152">
        <v>35.369999999999997</v>
      </c>
    </row>
    <row r="396" spans="1:1">
      <c r="A396" s="152">
        <v>18.670000000000002</v>
      </c>
    </row>
    <row r="397" spans="1:1">
      <c r="A397" s="152">
        <v>17.36</v>
      </c>
    </row>
    <row r="398" spans="1:1">
      <c r="A398" s="152">
        <v>14</v>
      </c>
    </row>
    <row r="399" spans="1:1">
      <c r="A399" s="152">
        <v>5.79</v>
      </c>
    </row>
    <row r="400" spans="1:1">
      <c r="A400" s="152">
        <v>9.17</v>
      </c>
    </row>
    <row r="401" spans="1:1">
      <c r="A401" s="152">
        <v>25.82</v>
      </c>
    </row>
  </sheetData>
  <mergeCells count="7">
    <mergeCell ref="C1:G1"/>
    <mergeCell ref="F11:G11"/>
    <mergeCell ref="F13:G13"/>
    <mergeCell ref="F19:G19"/>
    <mergeCell ref="F25:G25"/>
    <mergeCell ref="C24:D24"/>
    <mergeCell ref="C6:D6"/>
  </mergeCells>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07BA4-AD51-7445-9E83-A189E43AE498}">
  <dimension ref="A1:E401"/>
  <sheetViews>
    <sheetView workbookViewId="0">
      <selection activeCell="E9" sqref="E9"/>
    </sheetView>
  </sheetViews>
  <sheetFormatPr baseColWidth="10" defaultRowHeight="15"/>
  <cols>
    <col min="1" max="1" width="22.5" customWidth="1"/>
    <col min="3" max="3" width="73.83203125" customWidth="1"/>
    <col min="4" max="4" width="68.6640625" customWidth="1"/>
    <col min="5" max="5" width="54" customWidth="1"/>
    <col min="7" max="7" width="9.1640625" customWidth="1"/>
    <col min="8" max="8" width="9.5" customWidth="1"/>
    <col min="12" max="12" width="7.1640625" customWidth="1"/>
    <col min="13" max="13" width="3.1640625" customWidth="1"/>
  </cols>
  <sheetData>
    <row r="1" spans="1:5" ht="21">
      <c r="A1" s="2" t="s">
        <v>8</v>
      </c>
      <c r="C1" s="273" t="s">
        <v>691</v>
      </c>
      <c r="D1" s="273"/>
      <c r="E1" s="273"/>
    </row>
    <row r="2" spans="1:5">
      <c r="A2" t="s">
        <v>434</v>
      </c>
      <c r="C2" s="269"/>
    </row>
    <row r="3" spans="1:5">
      <c r="A3" t="s">
        <v>434</v>
      </c>
    </row>
    <row r="4" spans="1:5">
      <c r="A4" t="s">
        <v>435</v>
      </c>
      <c r="C4" s="199"/>
      <c r="D4" s="199"/>
      <c r="E4" s="199"/>
    </row>
    <row r="5" spans="1:5">
      <c r="A5" t="s">
        <v>436</v>
      </c>
    </row>
    <row r="6" spans="1:5" ht="16">
      <c r="A6" t="s">
        <v>435</v>
      </c>
      <c r="C6" s="268" t="s">
        <v>601</v>
      </c>
      <c r="D6" s="268"/>
      <c r="E6" s="268"/>
    </row>
    <row r="7" spans="1:5" ht="16">
      <c r="A7" t="s">
        <v>436</v>
      </c>
      <c r="C7" s="152" t="s">
        <v>556</v>
      </c>
      <c r="D7" s="152" t="s">
        <v>557</v>
      </c>
      <c r="E7" s="152" t="s">
        <v>558</v>
      </c>
    </row>
    <row r="8" spans="1:5" ht="16">
      <c r="A8" t="s">
        <v>434</v>
      </c>
      <c r="C8" s="150" t="s">
        <v>437</v>
      </c>
      <c r="D8" s="152">
        <v>38</v>
      </c>
      <c r="E8" s="200">
        <v>9.4763092269326679E-2</v>
      </c>
    </row>
    <row r="9" spans="1:5" ht="16">
      <c r="A9" t="s">
        <v>436</v>
      </c>
      <c r="C9" s="150" t="s">
        <v>436</v>
      </c>
      <c r="D9" s="152">
        <v>110</v>
      </c>
      <c r="E9" s="200">
        <v>0.27431421446384041</v>
      </c>
    </row>
    <row r="10" spans="1:5" ht="16">
      <c r="A10" t="s">
        <v>436</v>
      </c>
      <c r="C10" s="150" t="s">
        <v>434</v>
      </c>
      <c r="D10" s="152">
        <v>88</v>
      </c>
      <c r="E10" s="200">
        <v>0.21945137157107231</v>
      </c>
    </row>
    <row r="11" spans="1:5" ht="16">
      <c r="A11" t="s">
        <v>435</v>
      </c>
      <c r="C11" s="150" t="s">
        <v>435</v>
      </c>
      <c r="D11" s="152">
        <v>164</v>
      </c>
      <c r="E11" s="200">
        <v>0.40897755610972569</v>
      </c>
    </row>
    <row r="12" spans="1:5" ht="16">
      <c r="A12" t="s">
        <v>434</v>
      </c>
      <c r="C12" s="150" t="s">
        <v>587</v>
      </c>
      <c r="D12" s="152">
        <v>400</v>
      </c>
      <c r="E12" s="200">
        <v>1</v>
      </c>
    </row>
    <row r="13" spans="1:5">
      <c r="A13" t="s">
        <v>436</v>
      </c>
    </row>
    <row r="14" spans="1:5">
      <c r="A14" t="s">
        <v>434</v>
      </c>
    </row>
    <row r="15" spans="1:5">
      <c r="A15" t="s">
        <v>435</v>
      </c>
      <c r="D15" s="267" t="s">
        <v>687</v>
      </c>
      <c r="E15" s="267"/>
    </row>
    <row r="16" spans="1:5">
      <c r="A16" t="s">
        <v>434</v>
      </c>
      <c r="D16" s="145" t="s">
        <v>563</v>
      </c>
      <c r="E16" s="145" t="s">
        <v>559</v>
      </c>
    </row>
    <row r="17" spans="1:5">
      <c r="A17" t="s">
        <v>436</v>
      </c>
      <c r="D17" s="145" t="s">
        <v>555</v>
      </c>
      <c r="E17" s="163" t="s">
        <v>435</v>
      </c>
    </row>
    <row r="18" spans="1:5">
      <c r="A18" t="s">
        <v>435</v>
      </c>
      <c r="D18" s="145" t="s">
        <v>560</v>
      </c>
      <c r="E18" s="163" t="s">
        <v>561</v>
      </c>
    </row>
    <row r="19" spans="1:5">
      <c r="A19" t="s">
        <v>437</v>
      </c>
      <c r="D19" s="145" t="s">
        <v>562</v>
      </c>
      <c r="E19" s="264">
        <v>0.40899999999999997</v>
      </c>
    </row>
    <row r="20" spans="1:5">
      <c r="A20" t="s">
        <v>437</v>
      </c>
      <c r="D20" s="145" t="s">
        <v>602</v>
      </c>
      <c r="E20" s="163" t="s">
        <v>603</v>
      </c>
    </row>
    <row r="21" spans="1:5">
      <c r="A21" t="s">
        <v>434</v>
      </c>
    </row>
    <row r="22" spans="1:5">
      <c r="A22" t="s">
        <v>434</v>
      </c>
    </row>
    <row r="23" spans="1:5">
      <c r="A23" t="s">
        <v>434</v>
      </c>
    </row>
    <row r="24" spans="1:5">
      <c r="A24" t="s">
        <v>435</v>
      </c>
      <c r="C24" s="162" t="s">
        <v>690</v>
      </c>
      <c r="D24" s="162"/>
      <c r="E24" s="162"/>
    </row>
    <row r="25" spans="1:5">
      <c r="A25" t="s">
        <v>436</v>
      </c>
      <c r="C25" t="s">
        <v>688</v>
      </c>
      <c r="D25" t="s">
        <v>654</v>
      </c>
      <c r="E25" t="s">
        <v>689</v>
      </c>
    </row>
    <row r="26" spans="1:5" ht="16">
      <c r="A26" t="s">
        <v>434</v>
      </c>
      <c r="C26" s="270" t="s">
        <v>437</v>
      </c>
      <c r="D26" s="271">
        <v>38</v>
      </c>
      <c r="E26" s="272">
        <f>D26/400</f>
        <v>9.5000000000000001E-2</v>
      </c>
    </row>
    <row r="27" spans="1:5" ht="16">
      <c r="A27" t="s">
        <v>436</v>
      </c>
      <c r="C27" s="150" t="s">
        <v>436</v>
      </c>
      <c r="D27" s="152">
        <v>110</v>
      </c>
      <c r="E27" s="200">
        <f>110/400</f>
        <v>0.27500000000000002</v>
      </c>
    </row>
    <row r="28" spans="1:5">
      <c r="A28" t="s">
        <v>435</v>
      </c>
    </row>
    <row r="29" spans="1:5">
      <c r="A29" t="s">
        <v>436</v>
      </c>
    </row>
    <row r="30" spans="1:5">
      <c r="A30" t="s">
        <v>437</v>
      </c>
    </row>
    <row r="31" spans="1:5">
      <c r="A31" t="s">
        <v>434</v>
      </c>
    </row>
    <row r="32" spans="1:5">
      <c r="A32" t="s">
        <v>435</v>
      </c>
      <c r="C32" s="92" t="s">
        <v>468</v>
      </c>
      <c r="D32" s="92"/>
    </row>
    <row r="33" spans="1:4" ht="16" thickBot="1">
      <c r="A33" t="s">
        <v>435</v>
      </c>
      <c r="C33" s="5"/>
      <c r="D33" s="5"/>
    </row>
    <row r="34" spans="1:4">
      <c r="A34" t="s">
        <v>434</v>
      </c>
      <c r="C34" s="95" t="s">
        <v>470</v>
      </c>
      <c r="D34" s="96"/>
    </row>
    <row r="35" spans="1:4">
      <c r="A35" t="s">
        <v>434</v>
      </c>
      <c r="C35" s="9"/>
      <c r="D35" s="10"/>
    </row>
    <row r="36" spans="1:4">
      <c r="A36" t="s">
        <v>435</v>
      </c>
      <c r="C36" s="97" t="s">
        <v>471</v>
      </c>
      <c r="D36" s="98"/>
    </row>
    <row r="37" spans="1:4">
      <c r="A37" t="s">
        <v>436</v>
      </c>
      <c r="C37" s="13" t="s">
        <v>474</v>
      </c>
      <c r="D37" s="281">
        <f>COUNTA(A2:A401)</f>
        <v>400</v>
      </c>
    </row>
    <row r="38" spans="1:4">
      <c r="A38" t="s">
        <v>436</v>
      </c>
      <c r="C38" s="13" t="s">
        <v>477</v>
      </c>
      <c r="D38" s="281">
        <f>D9</f>
        <v>110</v>
      </c>
    </row>
    <row r="39" spans="1:4">
      <c r="A39" t="s">
        <v>436</v>
      </c>
      <c r="C39" s="13" t="s">
        <v>478</v>
      </c>
      <c r="D39" s="282">
        <v>0.95</v>
      </c>
    </row>
    <row r="40" spans="1:4">
      <c r="A40" t="s">
        <v>435</v>
      </c>
      <c r="C40" s="18"/>
      <c r="D40" s="283"/>
    </row>
    <row r="41" spans="1:4">
      <c r="A41" t="s">
        <v>437</v>
      </c>
      <c r="C41" s="18"/>
      <c r="D41" s="10"/>
    </row>
    <row r="42" spans="1:4">
      <c r="A42" t="s">
        <v>434</v>
      </c>
      <c r="C42" s="23" t="s">
        <v>480</v>
      </c>
      <c r="D42" s="24"/>
    </row>
    <row r="43" spans="1:4">
      <c r="A43" t="s">
        <v>437</v>
      </c>
      <c r="C43" s="13" t="s">
        <v>482</v>
      </c>
      <c r="D43" s="10">
        <f>D38/D37</f>
        <v>0.27500000000000002</v>
      </c>
    </row>
    <row r="44" spans="1:4">
      <c r="A44" t="s">
        <v>437</v>
      </c>
      <c r="C44" s="13" t="s">
        <v>483</v>
      </c>
      <c r="D44" s="285">
        <v>1.96</v>
      </c>
    </row>
    <row r="45" spans="1:4">
      <c r="A45" t="s">
        <v>435</v>
      </c>
      <c r="C45" s="13" t="s">
        <v>487</v>
      </c>
      <c r="D45" s="285">
        <f>SQRT(D43*(1-D43)/D37)</f>
        <v>2.2325713874364689E-2</v>
      </c>
    </row>
    <row r="46" spans="1:4">
      <c r="A46" t="s">
        <v>434</v>
      </c>
      <c r="C46" s="13" t="s">
        <v>489</v>
      </c>
      <c r="D46" s="285">
        <f>D45*D44</f>
        <v>4.3758399193754786E-2</v>
      </c>
    </row>
    <row r="47" spans="1:4">
      <c r="A47" t="s">
        <v>435</v>
      </c>
      <c r="C47" s="18"/>
      <c r="D47" s="10"/>
    </row>
    <row r="48" spans="1:4">
      <c r="A48" t="s">
        <v>436</v>
      </c>
      <c r="C48" s="23" t="s">
        <v>490</v>
      </c>
      <c r="D48" s="24"/>
    </row>
    <row r="49" spans="1:4">
      <c r="A49" t="s">
        <v>436</v>
      </c>
      <c r="C49" s="13" t="s">
        <v>493</v>
      </c>
      <c r="D49" s="286">
        <f>D43-D46</f>
        <v>0.23124160080624523</v>
      </c>
    </row>
    <row r="50" spans="1:4" ht="16" thickBot="1">
      <c r="A50" t="s">
        <v>436</v>
      </c>
      <c r="C50" s="32" t="s">
        <v>494</v>
      </c>
      <c r="D50" s="287">
        <f>D43+D46</f>
        <v>0.31875839919375482</v>
      </c>
    </row>
    <row r="51" spans="1:4">
      <c r="A51" t="s">
        <v>436</v>
      </c>
    </row>
    <row r="52" spans="1:4">
      <c r="A52" t="s">
        <v>437</v>
      </c>
    </row>
    <row r="53" spans="1:4">
      <c r="A53" t="s">
        <v>436</v>
      </c>
    </row>
    <row r="54" spans="1:4">
      <c r="A54" t="s">
        <v>436</v>
      </c>
    </row>
    <row r="55" spans="1:4">
      <c r="A55" t="s">
        <v>436</v>
      </c>
    </row>
    <row r="56" spans="1:4">
      <c r="A56" t="s">
        <v>434</v>
      </c>
    </row>
    <row r="57" spans="1:4">
      <c r="A57" t="s">
        <v>435</v>
      </c>
    </row>
    <row r="58" spans="1:4">
      <c r="A58" t="s">
        <v>434</v>
      </c>
    </row>
    <row r="59" spans="1:4">
      <c r="A59" t="s">
        <v>436</v>
      </c>
    </row>
    <row r="60" spans="1:4">
      <c r="A60" t="s">
        <v>435</v>
      </c>
    </row>
    <row r="61" spans="1:4">
      <c r="A61" t="s">
        <v>436</v>
      </c>
    </row>
    <row r="62" spans="1:4">
      <c r="A62" t="s">
        <v>435</v>
      </c>
    </row>
    <row r="63" spans="1:4">
      <c r="A63" t="s">
        <v>435</v>
      </c>
    </row>
    <row r="64" spans="1:4">
      <c r="A64" t="s">
        <v>436</v>
      </c>
    </row>
    <row r="65" spans="1:1">
      <c r="A65" t="s">
        <v>435</v>
      </c>
    </row>
    <row r="66" spans="1:1">
      <c r="A66" t="s">
        <v>434</v>
      </c>
    </row>
    <row r="67" spans="1:1">
      <c r="A67" t="s">
        <v>437</v>
      </c>
    </row>
    <row r="68" spans="1:1">
      <c r="A68" t="s">
        <v>434</v>
      </c>
    </row>
    <row r="69" spans="1:1">
      <c r="A69" t="s">
        <v>435</v>
      </c>
    </row>
    <row r="70" spans="1:1">
      <c r="A70" t="s">
        <v>437</v>
      </c>
    </row>
    <row r="71" spans="1:1">
      <c r="A71" t="s">
        <v>435</v>
      </c>
    </row>
    <row r="72" spans="1:1">
      <c r="A72" t="s">
        <v>434</v>
      </c>
    </row>
    <row r="73" spans="1:1">
      <c r="A73" t="s">
        <v>435</v>
      </c>
    </row>
    <row r="74" spans="1:1">
      <c r="A74" t="s">
        <v>434</v>
      </c>
    </row>
    <row r="75" spans="1:1">
      <c r="A75" t="s">
        <v>436</v>
      </c>
    </row>
    <row r="76" spans="1:1">
      <c r="A76" t="s">
        <v>436</v>
      </c>
    </row>
    <row r="77" spans="1:1">
      <c r="A77" t="s">
        <v>435</v>
      </c>
    </row>
    <row r="78" spans="1:1">
      <c r="A78" t="s">
        <v>435</v>
      </c>
    </row>
    <row r="79" spans="1:1">
      <c r="A79" t="s">
        <v>435</v>
      </c>
    </row>
    <row r="80" spans="1:1">
      <c r="A80" t="s">
        <v>435</v>
      </c>
    </row>
    <row r="81" spans="1:1">
      <c r="A81" t="s">
        <v>436</v>
      </c>
    </row>
    <row r="82" spans="1:1">
      <c r="A82" t="s">
        <v>434</v>
      </c>
    </row>
    <row r="83" spans="1:1">
      <c r="A83" t="s">
        <v>435</v>
      </c>
    </row>
    <row r="84" spans="1:1">
      <c r="A84" t="s">
        <v>435</v>
      </c>
    </row>
    <row r="85" spans="1:1">
      <c r="A85" t="s">
        <v>435</v>
      </c>
    </row>
    <row r="86" spans="1:1">
      <c r="A86" t="s">
        <v>436</v>
      </c>
    </row>
    <row r="87" spans="1:1">
      <c r="A87" t="s">
        <v>436</v>
      </c>
    </row>
    <row r="88" spans="1:1">
      <c r="A88" t="s">
        <v>435</v>
      </c>
    </row>
    <row r="89" spans="1:1">
      <c r="A89" t="s">
        <v>435</v>
      </c>
    </row>
    <row r="90" spans="1:1">
      <c r="A90" t="s">
        <v>434</v>
      </c>
    </row>
    <row r="91" spans="1:1">
      <c r="A91" t="s">
        <v>435</v>
      </c>
    </row>
    <row r="92" spans="1:1">
      <c r="A92" t="s">
        <v>435</v>
      </c>
    </row>
    <row r="93" spans="1:1">
      <c r="A93" t="s">
        <v>436</v>
      </c>
    </row>
    <row r="94" spans="1:1">
      <c r="A94" t="s">
        <v>436</v>
      </c>
    </row>
    <row r="95" spans="1:1">
      <c r="A95" t="s">
        <v>434</v>
      </c>
    </row>
    <row r="96" spans="1:1">
      <c r="A96" t="s">
        <v>434</v>
      </c>
    </row>
    <row r="97" spans="1:1">
      <c r="A97" t="s">
        <v>436</v>
      </c>
    </row>
    <row r="98" spans="1:1">
      <c r="A98" t="s">
        <v>435</v>
      </c>
    </row>
    <row r="99" spans="1:1">
      <c r="A99" t="s">
        <v>436</v>
      </c>
    </row>
    <row r="100" spans="1:1">
      <c r="A100" t="s">
        <v>437</v>
      </c>
    </row>
    <row r="101" spans="1:1">
      <c r="A101" t="s">
        <v>435</v>
      </c>
    </row>
    <row r="102" spans="1:1">
      <c r="A102" t="s">
        <v>437</v>
      </c>
    </row>
    <row r="103" spans="1:1">
      <c r="A103" t="s">
        <v>436</v>
      </c>
    </row>
    <row r="104" spans="1:1">
      <c r="A104" t="s">
        <v>435</v>
      </c>
    </row>
    <row r="105" spans="1:1">
      <c r="A105" t="s">
        <v>435</v>
      </c>
    </row>
    <row r="106" spans="1:1">
      <c r="A106" t="s">
        <v>435</v>
      </c>
    </row>
    <row r="107" spans="1:1">
      <c r="A107" t="s">
        <v>435</v>
      </c>
    </row>
    <row r="108" spans="1:1">
      <c r="A108" t="s">
        <v>437</v>
      </c>
    </row>
    <row r="109" spans="1:1">
      <c r="A109" t="s">
        <v>435</v>
      </c>
    </row>
    <row r="110" spans="1:1">
      <c r="A110" t="s">
        <v>435</v>
      </c>
    </row>
    <row r="111" spans="1:1">
      <c r="A111" t="s">
        <v>436</v>
      </c>
    </row>
    <row r="112" spans="1:1">
      <c r="A112" t="s">
        <v>436</v>
      </c>
    </row>
    <row r="113" spans="1:1">
      <c r="A113" t="s">
        <v>434</v>
      </c>
    </row>
    <row r="114" spans="1:1">
      <c r="A114" t="s">
        <v>437</v>
      </c>
    </row>
    <row r="115" spans="1:1">
      <c r="A115" t="s">
        <v>435</v>
      </c>
    </row>
    <row r="116" spans="1:1">
      <c r="A116" t="s">
        <v>436</v>
      </c>
    </row>
    <row r="117" spans="1:1">
      <c r="A117" t="s">
        <v>434</v>
      </c>
    </row>
    <row r="118" spans="1:1">
      <c r="A118" t="s">
        <v>435</v>
      </c>
    </row>
    <row r="119" spans="1:1">
      <c r="A119" t="s">
        <v>436</v>
      </c>
    </row>
    <row r="120" spans="1:1">
      <c r="A120" t="s">
        <v>437</v>
      </c>
    </row>
    <row r="121" spans="1:1">
      <c r="A121" t="s">
        <v>434</v>
      </c>
    </row>
    <row r="122" spans="1:1">
      <c r="A122" t="s">
        <v>435</v>
      </c>
    </row>
    <row r="123" spans="1:1">
      <c r="A123" t="s">
        <v>436</v>
      </c>
    </row>
    <row r="124" spans="1:1">
      <c r="A124" t="s">
        <v>435</v>
      </c>
    </row>
    <row r="125" spans="1:1">
      <c r="A125" t="s">
        <v>436</v>
      </c>
    </row>
    <row r="126" spans="1:1">
      <c r="A126" t="s">
        <v>435</v>
      </c>
    </row>
    <row r="127" spans="1:1">
      <c r="A127" t="s">
        <v>434</v>
      </c>
    </row>
    <row r="128" spans="1:1">
      <c r="A128" t="s">
        <v>435</v>
      </c>
    </row>
    <row r="129" spans="1:1">
      <c r="A129" t="s">
        <v>436</v>
      </c>
    </row>
    <row r="130" spans="1:1">
      <c r="A130" t="s">
        <v>435</v>
      </c>
    </row>
    <row r="131" spans="1:1">
      <c r="A131" t="s">
        <v>435</v>
      </c>
    </row>
    <row r="132" spans="1:1">
      <c r="A132" t="s">
        <v>434</v>
      </c>
    </row>
    <row r="133" spans="1:1">
      <c r="A133" t="s">
        <v>434</v>
      </c>
    </row>
    <row r="134" spans="1:1">
      <c r="A134" t="s">
        <v>435</v>
      </c>
    </row>
    <row r="135" spans="1:1">
      <c r="A135" t="s">
        <v>434</v>
      </c>
    </row>
    <row r="136" spans="1:1">
      <c r="A136" t="s">
        <v>436</v>
      </c>
    </row>
    <row r="137" spans="1:1">
      <c r="A137" t="s">
        <v>437</v>
      </c>
    </row>
    <row r="138" spans="1:1">
      <c r="A138" t="s">
        <v>435</v>
      </c>
    </row>
    <row r="139" spans="1:1">
      <c r="A139" t="s">
        <v>436</v>
      </c>
    </row>
    <row r="140" spans="1:1">
      <c r="A140" t="s">
        <v>435</v>
      </c>
    </row>
    <row r="141" spans="1:1">
      <c r="A141" t="s">
        <v>435</v>
      </c>
    </row>
    <row r="142" spans="1:1">
      <c r="A142" t="s">
        <v>434</v>
      </c>
    </row>
    <row r="143" spans="1:1">
      <c r="A143" t="s">
        <v>435</v>
      </c>
    </row>
    <row r="144" spans="1:1">
      <c r="A144" t="s">
        <v>434</v>
      </c>
    </row>
    <row r="145" spans="1:1">
      <c r="A145" t="s">
        <v>436</v>
      </c>
    </row>
    <row r="146" spans="1:1">
      <c r="A146" t="s">
        <v>437</v>
      </c>
    </row>
    <row r="147" spans="1:1">
      <c r="A147" t="s">
        <v>436</v>
      </c>
    </row>
    <row r="148" spans="1:1">
      <c r="A148" t="s">
        <v>435</v>
      </c>
    </row>
    <row r="149" spans="1:1">
      <c r="A149" t="s">
        <v>434</v>
      </c>
    </row>
    <row r="150" spans="1:1">
      <c r="A150" t="s">
        <v>436</v>
      </c>
    </row>
    <row r="151" spans="1:1">
      <c r="A151" t="s">
        <v>434</v>
      </c>
    </row>
    <row r="152" spans="1:1">
      <c r="A152" t="s">
        <v>435</v>
      </c>
    </row>
    <row r="153" spans="1:1">
      <c r="A153" t="s">
        <v>437</v>
      </c>
    </row>
    <row r="154" spans="1:1">
      <c r="A154" t="s">
        <v>436</v>
      </c>
    </row>
    <row r="155" spans="1:1">
      <c r="A155" t="s">
        <v>435</v>
      </c>
    </row>
    <row r="156" spans="1:1">
      <c r="A156" t="s">
        <v>435</v>
      </c>
    </row>
    <row r="157" spans="1:1">
      <c r="A157" t="s">
        <v>434</v>
      </c>
    </row>
    <row r="158" spans="1:1">
      <c r="A158" t="s">
        <v>435</v>
      </c>
    </row>
    <row r="159" spans="1:1">
      <c r="A159" t="s">
        <v>434</v>
      </c>
    </row>
    <row r="160" spans="1:1">
      <c r="A160" t="s">
        <v>435</v>
      </c>
    </row>
    <row r="161" spans="1:1">
      <c r="A161" t="s">
        <v>435</v>
      </c>
    </row>
    <row r="162" spans="1:1">
      <c r="A162" t="s">
        <v>434</v>
      </c>
    </row>
    <row r="163" spans="1:1">
      <c r="A163" t="s">
        <v>435</v>
      </c>
    </row>
    <row r="164" spans="1:1">
      <c r="A164" t="s">
        <v>435</v>
      </c>
    </row>
    <row r="165" spans="1:1">
      <c r="A165" t="s">
        <v>437</v>
      </c>
    </row>
    <row r="166" spans="1:1">
      <c r="A166" t="s">
        <v>435</v>
      </c>
    </row>
    <row r="167" spans="1:1">
      <c r="A167" t="s">
        <v>436</v>
      </c>
    </row>
    <row r="168" spans="1:1">
      <c r="A168" t="s">
        <v>434</v>
      </c>
    </row>
    <row r="169" spans="1:1">
      <c r="A169" t="s">
        <v>435</v>
      </c>
    </row>
    <row r="170" spans="1:1">
      <c r="A170" t="s">
        <v>435</v>
      </c>
    </row>
    <row r="171" spans="1:1">
      <c r="A171" t="s">
        <v>435</v>
      </c>
    </row>
    <row r="172" spans="1:1">
      <c r="A172" t="s">
        <v>435</v>
      </c>
    </row>
    <row r="173" spans="1:1">
      <c r="A173" t="s">
        <v>435</v>
      </c>
    </row>
    <row r="174" spans="1:1">
      <c r="A174" t="s">
        <v>435</v>
      </c>
    </row>
    <row r="175" spans="1:1">
      <c r="A175" t="s">
        <v>435</v>
      </c>
    </row>
    <row r="176" spans="1:1">
      <c r="A176" t="s">
        <v>434</v>
      </c>
    </row>
    <row r="177" spans="1:1">
      <c r="A177" t="s">
        <v>435</v>
      </c>
    </row>
    <row r="178" spans="1:1">
      <c r="A178" t="s">
        <v>435</v>
      </c>
    </row>
    <row r="179" spans="1:1">
      <c r="A179" t="s">
        <v>434</v>
      </c>
    </row>
    <row r="180" spans="1:1">
      <c r="A180" t="s">
        <v>437</v>
      </c>
    </row>
    <row r="181" spans="1:1">
      <c r="A181" t="s">
        <v>434</v>
      </c>
    </row>
    <row r="182" spans="1:1">
      <c r="A182" t="s">
        <v>434</v>
      </c>
    </row>
    <row r="183" spans="1:1">
      <c r="A183" t="s">
        <v>436</v>
      </c>
    </row>
    <row r="184" spans="1:1">
      <c r="A184" t="s">
        <v>436</v>
      </c>
    </row>
    <row r="185" spans="1:1">
      <c r="A185" t="s">
        <v>435</v>
      </c>
    </row>
    <row r="186" spans="1:1">
      <c r="A186" t="s">
        <v>435</v>
      </c>
    </row>
    <row r="187" spans="1:1">
      <c r="A187" t="s">
        <v>434</v>
      </c>
    </row>
    <row r="188" spans="1:1">
      <c r="A188" t="s">
        <v>435</v>
      </c>
    </row>
    <row r="189" spans="1:1">
      <c r="A189" t="s">
        <v>436</v>
      </c>
    </row>
    <row r="190" spans="1:1">
      <c r="A190" t="s">
        <v>435</v>
      </c>
    </row>
    <row r="191" spans="1:1">
      <c r="A191" t="s">
        <v>435</v>
      </c>
    </row>
    <row r="192" spans="1:1">
      <c r="A192" t="s">
        <v>437</v>
      </c>
    </row>
    <row r="193" spans="1:1">
      <c r="A193" t="s">
        <v>436</v>
      </c>
    </row>
    <row r="194" spans="1:1">
      <c r="A194" t="s">
        <v>436</v>
      </c>
    </row>
    <row r="195" spans="1:1">
      <c r="A195" t="s">
        <v>435</v>
      </c>
    </row>
    <row r="196" spans="1:1">
      <c r="A196" t="s">
        <v>434</v>
      </c>
    </row>
    <row r="197" spans="1:1">
      <c r="A197" t="s">
        <v>434</v>
      </c>
    </row>
    <row r="198" spans="1:1">
      <c r="A198" t="s">
        <v>436</v>
      </c>
    </row>
    <row r="199" spans="1:1">
      <c r="A199" t="s">
        <v>434</v>
      </c>
    </row>
    <row r="200" spans="1:1">
      <c r="A200" t="s">
        <v>434</v>
      </c>
    </row>
    <row r="201" spans="1:1">
      <c r="A201" t="s">
        <v>436</v>
      </c>
    </row>
    <row r="202" spans="1:1">
      <c r="A202" t="s">
        <v>435</v>
      </c>
    </row>
    <row r="203" spans="1:1">
      <c r="A203" t="s">
        <v>437</v>
      </c>
    </row>
    <row r="204" spans="1:1">
      <c r="A204" t="s">
        <v>435</v>
      </c>
    </row>
    <row r="205" spans="1:1">
      <c r="A205" t="s">
        <v>435</v>
      </c>
    </row>
    <row r="206" spans="1:1">
      <c r="A206" t="s">
        <v>436</v>
      </c>
    </row>
    <row r="207" spans="1:1">
      <c r="A207" t="s">
        <v>434</v>
      </c>
    </row>
    <row r="208" spans="1:1">
      <c r="A208" t="s">
        <v>437</v>
      </c>
    </row>
    <row r="209" spans="1:1">
      <c r="A209" t="s">
        <v>436</v>
      </c>
    </row>
    <row r="210" spans="1:1">
      <c r="A210" t="s">
        <v>436</v>
      </c>
    </row>
    <row r="211" spans="1:1">
      <c r="A211" t="s">
        <v>435</v>
      </c>
    </row>
    <row r="212" spans="1:1">
      <c r="A212" t="s">
        <v>434</v>
      </c>
    </row>
    <row r="213" spans="1:1">
      <c r="A213" t="s">
        <v>437</v>
      </c>
    </row>
    <row r="214" spans="1:1">
      <c r="A214" t="s">
        <v>434</v>
      </c>
    </row>
    <row r="215" spans="1:1">
      <c r="A215" t="s">
        <v>437</v>
      </c>
    </row>
    <row r="216" spans="1:1">
      <c r="A216" t="s">
        <v>436</v>
      </c>
    </row>
    <row r="217" spans="1:1">
      <c r="A217" t="s">
        <v>435</v>
      </c>
    </row>
    <row r="218" spans="1:1">
      <c r="A218" t="s">
        <v>436</v>
      </c>
    </row>
    <row r="219" spans="1:1">
      <c r="A219" t="s">
        <v>435</v>
      </c>
    </row>
    <row r="220" spans="1:1">
      <c r="A220" t="s">
        <v>435</v>
      </c>
    </row>
    <row r="221" spans="1:1">
      <c r="A221" t="s">
        <v>437</v>
      </c>
    </row>
    <row r="222" spans="1:1">
      <c r="A222" t="s">
        <v>436</v>
      </c>
    </row>
    <row r="223" spans="1:1">
      <c r="A223" t="s">
        <v>435</v>
      </c>
    </row>
    <row r="224" spans="1:1">
      <c r="A224" t="s">
        <v>437</v>
      </c>
    </row>
    <row r="225" spans="1:1">
      <c r="A225" t="s">
        <v>436</v>
      </c>
    </row>
    <row r="226" spans="1:1">
      <c r="A226" t="s">
        <v>436</v>
      </c>
    </row>
    <row r="227" spans="1:1">
      <c r="A227" t="s">
        <v>437</v>
      </c>
    </row>
    <row r="228" spans="1:1">
      <c r="A228" t="s">
        <v>435</v>
      </c>
    </row>
    <row r="229" spans="1:1">
      <c r="A229" t="s">
        <v>435</v>
      </c>
    </row>
    <row r="230" spans="1:1">
      <c r="A230" t="s">
        <v>435</v>
      </c>
    </row>
    <row r="231" spans="1:1">
      <c r="A231" t="s">
        <v>436</v>
      </c>
    </row>
    <row r="232" spans="1:1">
      <c r="A232" t="s">
        <v>434</v>
      </c>
    </row>
    <row r="233" spans="1:1">
      <c r="A233" t="s">
        <v>437</v>
      </c>
    </row>
    <row r="234" spans="1:1">
      <c r="A234" t="s">
        <v>435</v>
      </c>
    </row>
    <row r="235" spans="1:1">
      <c r="A235" t="s">
        <v>436</v>
      </c>
    </row>
    <row r="236" spans="1:1">
      <c r="A236" t="s">
        <v>436</v>
      </c>
    </row>
    <row r="237" spans="1:1">
      <c r="A237" t="s">
        <v>435</v>
      </c>
    </row>
    <row r="238" spans="1:1">
      <c r="A238" t="s">
        <v>436</v>
      </c>
    </row>
    <row r="239" spans="1:1">
      <c r="A239" t="s">
        <v>435</v>
      </c>
    </row>
    <row r="240" spans="1:1">
      <c r="A240" t="s">
        <v>435</v>
      </c>
    </row>
    <row r="241" spans="1:1">
      <c r="A241" t="s">
        <v>434</v>
      </c>
    </row>
    <row r="242" spans="1:1">
      <c r="A242" t="s">
        <v>437</v>
      </c>
    </row>
    <row r="243" spans="1:1">
      <c r="A243" t="s">
        <v>435</v>
      </c>
    </row>
    <row r="244" spans="1:1">
      <c r="A244" t="s">
        <v>434</v>
      </c>
    </row>
    <row r="245" spans="1:1">
      <c r="A245" t="s">
        <v>435</v>
      </c>
    </row>
    <row r="246" spans="1:1">
      <c r="A246" t="s">
        <v>436</v>
      </c>
    </row>
    <row r="247" spans="1:1">
      <c r="A247" t="s">
        <v>435</v>
      </c>
    </row>
    <row r="248" spans="1:1">
      <c r="A248" t="s">
        <v>437</v>
      </c>
    </row>
    <row r="249" spans="1:1">
      <c r="A249" t="s">
        <v>436</v>
      </c>
    </row>
    <row r="250" spans="1:1">
      <c r="A250" t="s">
        <v>437</v>
      </c>
    </row>
    <row r="251" spans="1:1">
      <c r="A251" t="s">
        <v>436</v>
      </c>
    </row>
    <row r="252" spans="1:1">
      <c r="A252" t="s">
        <v>436</v>
      </c>
    </row>
    <row r="253" spans="1:1">
      <c r="A253" t="s">
        <v>435</v>
      </c>
    </row>
    <row r="254" spans="1:1">
      <c r="A254" t="s">
        <v>437</v>
      </c>
    </row>
    <row r="255" spans="1:1">
      <c r="A255" t="s">
        <v>435</v>
      </c>
    </row>
    <row r="256" spans="1:1">
      <c r="A256" t="s">
        <v>436</v>
      </c>
    </row>
    <row r="257" spans="1:1">
      <c r="A257" t="s">
        <v>435</v>
      </c>
    </row>
    <row r="258" spans="1:1">
      <c r="A258" t="s">
        <v>434</v>
      </c>
    </row>
    <row r="259" spans="1:1">
      <c r="A259" t="s">
        <v>434</v>
      </c>
    </row>
    <row r="260" spans="1:1">
      <c r="A260" t="s">
        <v>434</v>
      </c>
    </row>
    <row r="261" spans="1:1">
      <c r="A261" t="s">
        <v>435</v>
      </c>
    </row>
    <row r="262" spans="1:1">
      <c r="A262" t="s">
        <v>436</v>
      </c>
    </row>
    <row r="263" spans="1:1">
      <c r="A263" t="s">
        <v>435</v>
      </c>
    </row>
    <row r="264" spans="1:1">
      <c r="A264" t="s">
        <v>436</v>
      </c>
    </row>
    <row r="265" spans="1:1">
      <c r="A265" t="s">
        <v>434</v>
      </c>
    </row>
    <row r="266" spans="1:1">
      <c r="A266" t="s">
        <v>436</v>
      </c>
    </row>
    <row r="267" spans="1:1">
      <c r="A267" t="s">
        <v>435</v>
      </c>
    </row>
    <row r="268" spans="1:1">
      <c r="A268" t="s">
        <v>435</v>
      </c>
    </row>
    <row r="269" spans="1:1">
      <c r="A269" t="s">
        <v>435</v>
      </c>
    </row>
    <row r="270" spans="1:1">
      <c r="A270" t="s">
        <v>436</v>
      </c>
    </row>
    <row r="271" spans="1:1">
      <c r="A271" t="s">
        <v>436</v>
      </c>
    </row>
    <row r="272" spans="1:1">
      <c r="A272" t="s">
        <v>437</v>
      </c>
    </row>
    <row r="273" spans="1:1">
      <c r="A273" t="s">
        <v>435</v>
      </c>
    </row>
    <row r="274" spans="1:1">
      <c r="A274" t="s">
        <v>436</v>
      </c>
    </row>
    <row r="275" spans="1:1">
      <c r="A275" t="s">
        <v>435</v>
      </c>
    </row>
    <row r="276" spans="1:1">
      <c r="A276" t="s">
        <v>435</v>
      </c>
    </row>
    <row r="277" spans="1:1">
      <c r="A277" t="s">
        <v>435</v>
      </c>
    </row>
    <row r="278" spans="1:1">
      <c r="A278" t="s">
        <v>434</v>
      </c>
    </row>
    <row r="279" spans="1:1">
      <c r="A279" t="s">
        <v>436</v>
      </c>
    </row>
    <row r="280" spans="1:1">
      <c r="A280" t="s">
        <v>435</v>
      </c>
    </row>
    <row r="281" spans="1:1">
      <c r="A281" t="s">
        <v>435</v>
      </c>
    </row>
    <row r="282" spans="1:1">
      <c r="A282" t="s">
        <v>435</v>
      </c>
    </row>
    <row r="283" spans="1:1">
      <c r="A283" t="s">
        <v>435</v>
      </c>
    </row>
    <row r="284" spans="1:1">
      <c r="A284" t="s">
        <v>435</v>
      </c>
    </row>
    <row r="285" spans="1:1">
      <c r="A285" t="s">
        <v>437</v>
      </c>
    </row>
    <row r="286" spans="1:1">
      <c r="A286" t="s">
        <v>435</v>
      </c>
    </row>
    <row r="287" spans="1:1">
      <c r="A287" t="s">
        <v>436</v>
      </c>
    </row>
    <row r="288" spans="1:1">
      <c r="A288" t="s">
        <v>435</v>
      </c>
    </row>
    <row r="289" spans="1:1">
      <c r="A289" t="s">
        <v>436</v>
      </c>
    </row>
    <row r="290" spans="1:1">
      <c r="A290" t="s">
        <v>436</v>
      </c>
    </row>
    <row r="291" spans="1:1">
      <c r="A291" t="s">
        <v>435</v>
      </c>
    </row>
    <row r="292" spans="1:1">
      <c r="A292" t="s">
        <v>435</v>
      </c>
    </row>
    <row r="293" spans="1:1">
      <c r="A293" t="s">
        <v>435</v>
      </c>
    </row>
    <row r="294" spans="1:1">
      <c r="A294" t="s">
        <v>435</v>
      </c>
    </row>
    <row r="295" spans="1:1">
      <c r="A295" t="s">
        <v>434</v>
      </c>
    </row>
    <row r="296" spans="1:1">
      <c r="A296" t="s">
        <v>436</v>
      </c>
    </row>
    <row r="297" spans="1:1">
      <c r="A297" t="s">
        <v>434</v>
      </c>
    </row>
    <row r="298" spans="1:1">
      <c r="A298" t="s">
        <v>435</v>
      </c>
    </row>
    <row r="299" spans="1:1">
      <c r="A299" t="s">
        <v>436</v>
      </c>
    </row>
    <row r="300" spans="1:1">
      <c r="A300" t="s">
        <v>436</v>
      </c>
    </row>
    <row r="301" spans="1:1">
      <c r="A301" t="s">
        <v>435</v>
      </c>
    </row>
    <row r="302" spans="1:1">
      <c r="A302" t="s">
        <v>434</v>
      </c>
    </row>
    <row r="303" spans="1:1">
      <c r="A303" t="s">
        <v>434</v>
      </c>
    </row>
    <row r="304" spans="1:1">
      <c r="A304" t="s">
        <v>435</v>
      </c>
    </row>
    <row r="305" spans="1:1">
      <c r="A305" t="s">
        <v>434</v>
      </c>
    </row>
    <row r="306" spans="1:1">
      <c r="A306" t="s">
        <v>435</v>
      </c>
    </row>
    <row r="307" spans="1:1">
      <c r="A307" t="s">
        <v>434</v>
      </c>
    </row>
    <row r="308" spans="1:1">
      <c r="A308" t="s">
        <v>436</v>
      </c>
    </row>
    <row r="309" spans="1:1">
      <c r="A309" t="s">
        <v>436</v>
      </c>
    </row>
    <row r="310" spans="1:1">
      <c r="A310" t="s">
        <v>434</v>
      </c>
    </row>
    <row r="311" spans="1:1">
      <c r="A311" t="s">
        <v>436</v>
      </c>
    </row>
    <row r="312" spans="1:1">
      <c r="A312" t="s">
        <v>435</v>
      </c>
    </row>
    <row r="313" spans="1:1">
      <c r="A313" t="s">
        <v>435</v>
      </c>
    </row>
    <row r="314" spans="1:1">
      <c r="A314" t="s">
        <v>435</v>
      </c>
    </row>
    <row r="315" spans="1:1">
      <c r="A315" t="s">
        <v>435</v>
      </c>
    </row>
    <row r="316" spans="1:1">
      <c r="A316" t="s">
        <v>434</v>
      </c>
    </row>
    <row r="317" spans="1:1">
      <c r="A317" t="s">
        <v>435</v>
      </c>
    </row>
    <row r="318" spans="1:1">
      <c r="A318" t="s">
        <v>435</v>
      </c>
    </row>
    <row r="319" spans="1:1">
      <c r="A319" t="s">
        <v>436</v>
      </c>
    </row>
    <row r="320" spans="1:1">
      <c r="A320" t="s">
        <v>436</v>
      </c>
    </row>
    <row r="321" spans="1:1">
      <c r="A321" t="s">
        <v>434</v>
      </c>
    </row>
    <row r="322" spans="1:1">
      <c r="A322" t="s">
        <v>435</v>
      </c>
    </row>
    <row r="323" spans="1:1">
      <c r="A323" t="s">
        <v>434</v>
      </c>
    </row>
    <row r="324" spans="1:1">
      <c r="A324" t="s">
        <v>435</v>
      </c>
    </row>
    <row r="325" spans="1:1">
      <c r="A325" t="s">
        <v>435</v>
      </c>
    </row>
    <row r="326" spans="1:1">
      <c r="A326" t="s">
        <v>435</v>
      </c>
    </row>
    <row r="327" spans="1:1">
      <c r="A327" t="s">
        <v>434</v>
      </c>
    </row>
    <row r="328" spans="1:1">
      <c r="A328" t="s">
        <v>436</v>
      </c>
    </row>
    <row r="329" spans="1:1">
      <c r="A329" t="s">
        <v>436</v>
      </c>
    </row>
    <row r="330" spans="1:1">
      <c r="A330" t="s">
        <v>434</v>
      </c>
    </row>
    <row r="331" spans="1:1">
      <c r="A331" t="s">
        <v>435</v>
      </c>
    </row>
    <row r="332" spans="1:1">
      <c r="A332" t="s">
        <v>434</v>
      </c>
    </row>
    <row r="333" spans="1:1">
      <c r="A333" t="s">
        <v>435</v>
      </c>
    </row>
    <row r="334" spans="1:1">
      <c r="A334" t="s">
        <v>437</v>
      </c>
    </row>
    <row r="335" spans="1:1">
      <c r="A335" t="s">
        <v>434</v>
      </c>
    </row>
    <row r="336" spans="1:1">
      <c r="A336" t="s">
        <v>434</v>
      </c>
    </row>
    <row r="337" spans="1:1">
      <c r="A337" t="s">
        <v>435</v>
      </c>
    </row>
    <row r="338" spans="1:1">
      <c r="A338" t="s">
        <v>434</v>
      </c>
    </row>
    <row r="339" spans="1:1">
      <c r="A339" t="s">
        <v>435</v>
      </c>
    </row>
    <row r="340" spans="1:1">
      <c r="A340" t="s">
        <v>435</v>
      </c>
    </row>
    <row r="341" spans="1:1">
      <c r="A341" t="s">
        <v>436</v>
      </c>
    </row>
    <row r="342" spans="1:1">
      <c r="A342" t="s">
        <v>436</v>
      </c>
    </row>
    <row r="343" spans="1:1">
      <c r="A343" t="s">
        <v>436</v>
      </c>
    </row>
    <row r="344" spans="1:1">
      <c r="A344" t="s">
        <v>434</v>
      </c>
    </row>
    <row r="345" spans="1:1">
      <c r="A345" t="s">
        <v>434</v>
      </c>
    </row>
    <row r="346" spans="1:1">
      <c r="A346" t="s">
        <v>434</v>
      </c>
    </row>
    <row r="347" spans="1:1">
      <c r="A347" t="s">
        <v>435</v>
      </c>
    </row>
    <row r="348" spans="1:1">
      <c r="A348" t="s">
        <v>436</v>
      </c>
    </row>
    <row r="349" spans="1:1">
      <c r="A349" t="s">
        <v>435</v>
      </c>
    </row>
    <row r="350" spans="1:1">
      <c r="A350" t="s">
        <v>435</v>
      </c>
    </row>
    <row r="351" spans="1:1">
      <c r="A351" t="s">
        <v>436</v>
      </c>
    </row>
    <row r="352" spans="1:1">
      <c r="A352" t="s">
        <v>436</v>
      </c>
    </row>
    <row r="353" spans="1:1">
      <c r="A353" t="s">
        <v>435</v>
      </c>
    </row>
    <row r="354" spans="1:1">
      <c r="A354" t="s">
        <v>435</v>
      </c>
    </row>
    <row r="355" spans="1:1">
      <c r="A355" t="s">
        <v>435</v>
      </c>
    </row>
    <row r="356" spans="1:1">
      <c r="A356" t="s">
        <v>435</v>
      </c>
    </row>
    <row r="357" spans="1:1">
      <c r="A357" t="s">
        <v>435</v>
      </c>
    </row>
    <row r="358" spans="1:1">
      <c r="A358" t="s">
        <v>436</v>
      </c>
    </row>
    <row r="359" spans="1:1">
      <c r="A359" t="s">
        <v>435</v>
      </c>
    </row>
    <row r="360" spans="1:1">
      <c r="A360" t="s">
        <v>436</v>
      </c>
    </row>
    <row r="361" spans="1:1">
      <c r="A361" t="s">
        <v>434</v>
      </c>
    </row>
    <row r="362" spans="1:1">
      <c r="A362" t="s">
        <v>435</v>
      </c>
    </row>
    <row r="363" spans="1:1">
      <c r="A363" t="s">
        <v>435</v>
      </c>
    </row>
    <row r="364" spans="1:1">
      <c r="A364" t="s">
        <v>434</v>
      </c>
    </row>
    <row r="365" spans="1:1">
      <c r="A365" t="s">
        <v>436</v>
      </c>
    </row>
    <row r="366" spans="1:1">
      <c r="A366" t="s">
        <v>436</v>
      </c>
    </row>
    <row r="367" spans="1:1">
      <c r="A367" t="s">
        <v>435</v>
      </c>
    </row>
    <row r="368" spans="1:1">
      <c r="A368" t="s">
        <v>436</v>
      </c>
    </row>
    <row r="369" spans="1:1">
      <c r="A369" t="s">
        <v>436</v>
      </c>
    </row>
    <row r="370" spans="1:1">
      <c r="A370" t="s">
        <v>434</v>
      </c>
    </row>
    <row r="371" spans="1:1">
      <c r="A371" t="s">
        <v>435</v>
      </c>
    </row>
    <row r="372" spans="1:1">
      <c r="A372" t="s">
        <v>436</v>
      </c>
    </row>
    <row r="373" spans="1:1">
      <c r="A373" t="s">
        <v>434</v>
      </c>
    </row>
    <row r="374" spans="1:1">
      <c r="A374" t="s">
        <v>435</v>
      </c>
    </row>
    <row r="375" spans="1:1">
      <c r="A375" t="s">
        <v>436</v>
      </c>
    </row>
    <row r="376" spans="1:1">
      <c r="A376" t="s">
        <v>436</v>
      </c>
    </row>
    <row r="377" spans="1:1">
      <c r="A377" t="s">
        <v>435</v>
      </c>
    </row>
    <row r="378" spans="1:1">
      <c r="A378" t="s">
        <v>436</v>
      </c>
    </row>
    <row r="379" spans="1:1">
      <c r="A379" t="s">
        <v>436</v>
      </c>
    </row>
    <row r="380" spans="1:1">
      <c r="A380" t="s">
        <v>435</v>
      </c>
    </row>
    <row r="381" spans="1:1">
      <c r="A381" t="s">
        <v>437</v>
      </c>
    </row>
    <row r="382" spans="1:1">
      <c r="A382" t="s">
        <v>434</v>
      </c>
    </row>
    <row r="383" spans="1:1">
      <c r="A383" t="s">
        <v>435</v>
      </c>
    </row>
    <row r="384" spans="1:1">
      <c r="A384" t="s">
        <v>435</v>
      </c>
    </row>
    <row r="385" spans="1:1">
      <c r="A385" t="s">
        <v>435</v>
      </c>
    </row>
    <row r="386" spans="1:1">
      <c r="A386" t="s">
        <v>435</v>
      </c>
    </row>
    <row r="387" spans="1:1">
      <c r="A387" t="s">
        <v>435</v>
      </c>
    </row>
    <row r="388" spans="1:1">
      <c r="A388" t="s">
        <v>434</v>
      </c>
    </row>
    <row r="389" spans="1:1">
      <c r="A389" t="s">
        <v>435</v>
      </c>
    </row>
    <row r="390" spans="1:1">
      <c r="A390" t="s">
        <v>437</v>
      </c>
    </row>
    <row r="391" spans="1:1">
      <c r="A391" t="s">
        <v>435</v>
      </c>
    </row>
    <row r="392" spans="1:1">
      <c r="A392" t="s">
        <v>434</v>
      </c>
    </row>
    <row r="393" spans="1:1">
      <c r="A393" t="s">
        <v>437</v>
      </c>
    </row>
    <row r="394" spans="1:1">
      <c r="A394" t="s">
        <v>436</v>
      </c>
    </row>
    <row r="395" spans="1:1">
      <c r="A395" t="s">
        <v>436</v>
      </c>
    </row>
    <row r="396" spans="1:1">
      <c r="A396" t="s">
        <v>435</v>
      </c>
    </row>
    <row r="397" spans="1:1">
      <c r="A397" t="s">
        <v>434</v>
      </c>
    </row>
    <row r="398" spans="1:1">
      <c r="A398" t="s">
        <v>435</v>
      </c>
    </row>
    <row r="399" spans="1:1">
      <c r="A399" t="s">
        <v>434</v>
      </c>
    </row>
    <row r="400" spans="1:1">
      <c r="A400" t="s">
        <v>436</v>
      </c>
    </row>
    <row r="401" spans="1:1">
      <c r="A401" t="s">
        <v>435</v>
      </c>
    </row>
  </sheetData>
  <mergeCells count="7">
    <mergeCell ref="C1:E1"/>
    <mergeCell ref="C32:D32"/>
    <mergeCell ref="C34:D34"/>
    <mergeCell ref="C36:D36"/>
    <mergeCell ref="C6:E6"/>
    <mergeCell ref="D15:E15"/>
    <mergeCell ref="C24:E24"/>
  </mergeCells>
  <pageMargins left="0.7" right="0.7" top="0.75" bottom="0.75" header="0.3" footer="0.3"/>
  <drawing r:id="rId1"/>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3661D-52BB-904B-B756-B6BA89BA73C4}">
  <dimension ref="A1:K401"/>
  <sheetViews>
    <sheetView tabSelected="1" topLeftCell="A44" zoomScaleNormal="100" workbookViewId="0">
      <selection activeCell="C46" sqref="C46"/>
    </sheetView>
  </sheetViews>
  <sheetFormatPr baseColWidth="10" defaultRowHeight="16"/>
  <cols>
    <col min="1" max="1" width="12.5" style="152" customWidth="1"/>
    <col min="2" max="2" width="53.83203125" style="152" customWidth="1"/>
    <col min="3" max="3" width="46" customWidth="1"/>
    <col min="4" max="4" width="56.83203125" customWidth="1"/>
    <col min="5" max="5" width="29" customWidth="1"/>
    <col min="6" max="6" width="27" customWidth="1"/>
    <col min="7" max="7" width="40.6640625" customWidth="1"/>
    <col min="8" max="8" width="25" customWidth="1"/>
    <col min="10" max="10" width="30.33203125" customWidth="1"/>
    <col min="11" max="11" width="26.5" customWidth="1"/>
  </cols>
  <sheetData>
    <row r="1" spans="1:6" ht="20">
      <c r="A1" s="222" t="s">
        <v>464</v>
      </c>
      <c r="B1" s="223" t="s">
        <v>640</v>
      </c>
      <c r="D1" s="299" t="s">
        <v>702</v>
      </c>
      <c r="E1" s="299"/>
      <c r="F1" s="299"/>
    </row>
    <row r="2" spans="1:6" ht="17" thickBot="1">
      <c r="A2" s="152">
        <v>17.388000000000002</v>
      </c>
      <c r="B2" s="152" t="s">
        <v>645</v>
      </c>
    </row>
    <row r="3" spans="1:6">
      <c r="A3" s="152">
        <v>46.656999999999996</v>
      </c>
      <c r="B3" s="152" t="s">
        <v>647</v>
      </c>
      <c r="D3" s="88" t="s">
        <v>469</v>
      </c>
      <c r="E3" s="89"/>
    </row>
    <row r="4" spans="1:6">
      <c r="A4" s="152">
        <v>68.616</v>
      </c>
      <c r="B4" s="152" t="s">
        <v>649</v>
      </c>
      <c r="D4" s="7"/>
      <c r="E4" s="8"/>
    </row>
    <row r="5" spans="1:6">
      <c r="A5" s="152">
        <v>28.391999999999999</v>
      </c>
      <c r="B5" s="152" t="s">
        <v>646</v>
      </c>
      <c r="D5" s="11" t="s">
        <v>471</v>
      </c>
      <c r="E5" s="12"/>
    </row>
    <row r="6" spans="1:6">
      <c r="A6" s="152">
        <v>43.87</v>
      </c>
      <c r="B6" s="152" t="s">
        <v>646</v>
      </c>
      <c r="D6" s="13" t="s">
        <v>473</v>
      </c>
      <c r="E6" s="193">
        <v>23.607615107367838</v>
      </c>
    </row>
    <row r="7" spans="1:6">
      <c r="A7" s="152">
        <v>65.685000000000002</v>
      </c>
      <c r="B7" s="152" t="s">
        <v>647</v>
      </c>
      <c r="D7" s="13" t="s">
        <v>476</v>
      </c>
      <c r="E7" s="194">
        <v>49.252744999999969</v>
      </c>
    </row>
    <row r="8" spans="1:6">
      <c r="A8" s="152">
        <v>25.864999999999998</v>
      </c>
      <c r="B8" s="152" t="s">
        <v>646</v>
      </c>
      <c r="D8" s="13" t="s">
        <v>474</v>
      </c>
      <c r="E8" s="14">
        <v>400</v>
      </c>
    </row>
    <row r="9" spans="1:6">
      <c r="A9" s="152">
        <v>40.753999999999998</v>
      </c>
      <c r="B9" s="152" t="s">
        <v>646</v>
      </c>
      <c r="D9" s="13" t="s">
        <v>478</v>
      </c>
      <c r="E9" s="17">
        <v>0.95</v>
      </c>
    </row>
    <row r="10" spans="1:6">
      <c r="A10" s="152">
        <v>16.122</v>
      </c>
      <c r="B10" s="152" t="s">
        <v>645</v>
      </c>
      <c r="D10" s="20"/>
      <c r="E10" s="21"/>
    </row>
    <row r="11" spans="1:6">
      <c r="A11" s="152">
        <v>43.776000000000003</v>
      </c>
      <c r="B11" s="152" t="s">
        <v>646</v>
      </c>
      <c r="D11" s="90" t="s">
        <v>480</v>
      </c>
      <c r="E11" s="91"/>
    </row>
    <row r="12" spans="1:6">
      <c r="A12" s="152">
        <v>63.607999999999997</v>
      </c>
      <c r="B12" s="152" t="s">
        <v>647</v>
      </c>
      <c r="D12" s="13" t="s">
        <v>481</v>
      </c>
      <c r="E12" s="25">
        <f>E6/SQRT(E8)</f>
        <v>1.1803807553683918</v>
      </c>
    </row>
    <row r="13" spans="1:6">
      <c r="A13" s="152">
        <v>35.884</v>
      </c>
      <c r="B13" s="152" t="s">
        <v>646</v>
      </c>
      <c r="D13" s="13" t="s">
        <v>484</v>
      </c>
      <c r="E13" s="26">
        <f>E8-1</f>
        <v>399</v>
      </c>
    </row>
    <row r="14" spans="1:6">
      <c r="A14" s="152">
        <v>59.942999999999998</v>
      </c>
      <c r="B14" s="152" t="s">
        <v>647</v>
      </c>
      <c r="D14" s="28" t="s">
        <v>486</v>
      </c>
      <c r="E14" s="25">
        <f>_xlfn.T.INV.2T(1-0.95,E13)</f>
        <v>1.9659272959208922</v>
      </c>
    </row>
    <row r="15" spans="1:6">
      <c r="A15" s="152">
        <v>55.834000000000003</v>
      </c>
      <c r="B15" s="152" t="s">
        <v>647</v>
      </c>
      <c r="D15" s="13" t="s">
        <v>488</v>
      </c>
      <c r="E15" s="195">
        <f>E14*E12</f>
        <v>2.3205427465584427</v>
      </c>
    </row>
    <row r="16" spans="1:6">
      <c r="A16" s="152">
        <v>15.707000000000001</v>
      </c>
      <c r="B16" s="152" t="s">
        <v>645</v>
      </c>
      <c r="D16" s="29"/>
      <c r="E16" s="30"/>
    </row>
    <row r="17" spans="1:7">
      <c r="A17" s="152">
        <v>67.504000000000005</v>
      </c>
      <c r="B17" s="152" t="s">
        <v>649</v>
      </c>
      <c r="D17" s="90" t="s">
        <v>490</v>
      </c>
      <c r="E17" s="91"/>
    </row>
    <row r="18" spans="1:7">
      <c r="A18" s="152">
        <v>42.305</v>
      </c>
      <c r="B18" s="152" t="s">
        <v>646</v>
      </c>
      <c r="D18" s="13" t="s">
        <v>491</v>
      </c>
      <c r="E18" s="31">
        <f>49.25-2.32</f>
        <v>46.93</v>
      </c>
    </row>
    <row r="19" spans="1:7" ht="17" thickBot="1">
      <c r="A19" s="152">
        <v>45.494</v>
      </c>
      <c r="B19" s="152" t="s">
        <v>647</v>
      </c>
      <c r="D19" s="32" t="s">
        <v>492</v>
      </c>
      <c r="E19" s="33">
        <f>49.25+2.32</f>
        <v>51.57</v>
      </c>
    </row>
    <row r="20" spans="1:7">
      <c r="A20" s="152">
        <v>25.003</v>
      </c>
      <c r="B20" s="152" t="s">
        <v>646</v>
      </c>
    </row>
    <row r="21" spans="1:7">
      <c r="A21" s="152">
        <v>46.646000000000001</v>
      </c>
      <c r="B21" s="152" t="s">
        <v>647</v>
      </c>
    </row>
    <row r="22" spans="1:7">
      <c r="A22" s="152">
        <v>32.247999999999998</v>
      </c>
      <c r="B22" s="152" t="s">
        <v>646</v>
      </c>
    </row>
    <row r="23" spans="1:7">
      <c r="A23" s="152">
        <v>71.543000000000006</v>
      </c>
      <c r="B23" s="152" t="s">
        <v>649</v>
      </c>
    </row>
    <row r="24" spans="1:7">
      <c r="A24" s="152">
        <v>37.268999999999998</v>
      </c>
      <c r="B24" s="152" t="s">
        <v>646</v>
      </c>
    </row>
    <row r="25" spans="1:7" ht="17" thickBot="1">
      <c r="A25" s="152">
        <v>34.418999999999997</v>
      </c>
      <c r="B25" s="152" t="s">
        <v>646</v>
      </c>
      <c r="D25" s="127" t="s">
        <v>525</v>
      </c>
      <c r="E25" s="127"/>
      <c r="F25" s="127"/>
      <c r="G25" s="127"/>
    </row>
    <row r="26" spans="1:7">
      <c r="A26" s="152">
        <v>62.975000000000001</v>
      </c>
      <c r="B26" s="152" t="s">
        <v>647</v>
      </c>
      <c r="D26" s="139" t="s">
        <v>522</v>
      </c>
      <c r="E26" s="140"/>
      <c r="F26" s="140"/>
      <c r="G26" s="141"/>
    </row>
    <row r="27" spans="1:7">
      <c r="A27" s="152">
        <v>51.877000000000002</v>
      </c>
      <c r="B27" s="152" t="s">
        <v>647</v>
      </c>
      <c r="D27" s="132"/>
      <c r="E27" s="133"/>
      <c r="F27" s="133"/>
      <c r="G27" s="134"/>
    </row>
    <row r="28" spans="1:7">
      <c r="A28" s="152">
        <v>38.255000000000003</v>
      </c>
      <c r="B28" s="152" t="s">
        <v>646</v>
      </c>
      <c r="D28" s="97" t="s">
        <v>519</v>
      </c>
      <c r="E28" s="114"/>
      <c r="F28" s="114"/>
      <c r="G28" s="98"/>
    </row>
    <row r="29" spans="1:7">
      <c r="A29" s="152">
        <v>20.73</v>
      </c>
      <c r="B29" s="152" t="s">
        <v>645</v>
      </c>
      <c r="D29" s="18" t="s">
        <v>518</v>
      </c>
      <c r="E29" s="64" t="s">
        <v>517</v>
      </c>
      <c r="F29" s="64"/>
      <c r="G29" s="72">
        <v>48</v>
      </c>
    </row>
    <row r="30" spans="1:7">
      <c r="A30" s="152">
        <v>42.258000000000003</v>
      </c>
      <c r="B30" s="152" t="s">
        <v>646</v>
      </c>
      <c r="D30" s="18" t="s">
        <v>516</v>
      </c>
      <c r="E30" s="64" t="s">
        <v>517</v>
      </c>
      <c r="F30" s="63" t="s">
        <v>595</v>
      </c>
      <c r="G30" s="15">
        <v>48</v>
      </c>
    </row>
    <row r="31" spans="1:7">
      <c r="A31" s="152">
        <v>66.81</v>
      </c>
      <c r="B31" s="152" t="s">
        <v>649</v>
      </c>
      <c r="D31" s="58" t="s">
        <v>514</v>
      </c>
      <c r="E31" s="57"/>
      <c r="F31" s="57" t="s">
        <v>594</v>
      </c>
      <c r="G31" s="62" t="str">
        <f>IF(F30="&lt;","Lower",IF(F30="&gt;","Upper","Two"))</f>
        <v>Upper</v>
      </c>
    </row>
    <row r="32" spans="1:7">
      <c r="A32" s="152">
        <v>8.32</v>
      </c>
      <c r="B32" s="152" t="s">
        <v>645</v>
      </c>
      <c r="D32" s="97" t="s">
        <v>513</v>
      </c>
      <c r="E32" s="114"/>
      <c r="F32" s="114"/>
      <c r="G32" s="98"/>
    </row>
    <row r="33" spans="1:11">
      <c r="A33" s="152">
        <v>76.06</v>
      </c>
      <c r="B33" s="152" t="s">
        <v>649</v>
      </c>
      <c r="D33" s="51"/>
      <c r="E33" s="5"/>
      <c r="G33" s="50">
        <v>0.05</v>
      </c>
    </row>
    <row r="34" spans="1:11">
      <c r="A34" s="152">
        <v>69.683000000000007</v>
      </c>
      <c r="B34" s="152" t="s">
        <v>649</v>
      </c>
      <c r="D34" s="97" t="s">
        <v>511</v>
      </c>
      <c r="E34" s="114"/>
      <c r="F34" s="114"/>
      <c r="G34" s="98"/>
    </row>
    <row r="35" spans="1:11">
      <c r="A35" s="152">
        <v>12.763</v>
      </c>
      <c r="B35" s="152" t="s">
        <v>645</v>
      </c>
      <c r="D35" s="99" t="s">
        <v>510</v>
      </c>
      <c r="E35" s="100"/>
      <c r="F35" s="101"/>
      <c r="G35" s="48">
        <f>E8-1</f>
        <v>399</v>
      </c>
    </row>
    <row r="36" spans="1:11">
      <c r="A36" s="152">
        <v>71.554000000000002</v>
      </c>
      <c r="B36" s="152" t="s">
        <v>649</v>
      </c>
      <c r="D36" s="99" t="str">
        <f>IF(F29="=","Lower Critical Value","Critical Value")</f>
        <v>Critical Value</v>
      </c>
      <c r="E36" s="100"/>
      <c r="F36" s="101"/>
      <c r="G36" s="47">
        <f>_xlfn.T.INV(1-G33,G35)</f>
        <v>1.6486815335554372</v>
      </c>
    </row>
    <row r="37" spans="1:11">
      <c r="A37" s="152">
        <v>25.687000000000001</v>
      </c>
      <c r="B37" s="152" t="s">
        <v>646</v>
      </c>
      <c r="D37" s="99" t="str">
        <f>IF(F29="=","Upper Critical Value","")</f>
        <v/>
      </c>
      <c r="E37" s="100"/>
      <c r="F37" s="101"/>
      <c r="G37" s="41"/>
    </row>
    <row r="38" spans="1:11">
      <c r="A38" s="152">
        <v>79.507999999999996</v>
      </c>
      <c r="B38" s="152" t="s">
        <v>649</v>
      </c>
      <c r="D38" s="97" t="s">
        <v>506</v>
      </c>
      <c r="E38" s="114"/>
      <c r="F38" s="114"/>
      <c r="G38" s="98"/>
    </row>
    <row r="39" spans="1:11">
      <c r="A39" s="152">
        <v>55.863999999999997</v>
      </c>
      <c r="B39" s="152" t="s">
        <v>647</v>
      </c>
      <c r="D39" s="99" t="s">
        <v>507</v>
      </c>
      <c r="E39" s="100"/>
      <c r="F39" s="101"/>
      <c r="G39" s="49">
        <f>E6</f>
        <v>23.607615107367838</v>
      </c>
    </row>
    <row r="40" spans="1:11">
      <c r="A40" s="152">
        <v>21.869</v>
      </c>
      <c r="B40" s="152" t="s">
        <v>645</v>
      </c>
      <c r="D40" s="99" t="s">
        <v>504</v>
      </c>
      <c r="E40" s="100"/>
      <c r="F40" s="101"/>
      <c r="G40" s="49">
        <f>E7</f>
        <v>49.252744999999969</v>
      </c>
    </row>
    <row r="41" spans="1:11">
      <c r="A41" s="152">
        <v>48.048999999999999</v>
      </c>
      <c r="B41" s="152" t="s">
        <v>647</v>
      </c>
      <c r="D41" s="99" t="s">
        <v>503</v>
      </c>
      <c r="E41" s="100"/>
      <c r="F41" s="101"/>
      <c r="G41" s="15">
        <f>E8</f>
        <v>400</v>
      </c>
    </row>
    <row r="42" spans="1:11">
      <c r="A42" s="152">
        <v>56.99</v>
      </c>
      <c r="B42" s="152" t="s">
        <v>647</v>
      </c>
      <c r="D42" s="108"/>
      <c r="E42" s="109"/>
      <c r="F42" s="109"/>
      <c r="G42" s="110"/>
    </row>
    <row r="43" spans="1:11">
      <c r="A43" s="152">
        <v>56.372999999999998</v>
      </c>
      <c r="B43" s="152" t="s">
        <v>647</v>
      </c>
      <c r="D43" s="99" t="s">
        <v>500</v>
      </c>
      <c r="E43" s="100"/>
      <c r="F43" s="101"/>
      <c r="G43" s="41">
        <f>E12</f>
        <v>1.1803807553683918</v>
      </c>
    </row>
    <row r="44" spans="1:11">
      <c r="A44" s="152">
        <v>44.795000000000002</v>
      </c>
      <c r="B44" s="152" t="s">
        <v>647</v>
      </c>
      <c r="D44" s="118" t="s">
        <v>498</v>
      </c>
      <c r="E44" s="119"/>
      <c r="F44" s="120"/>
      <c r="G44" s="198">
        <f>(49.25-48)/1.1804</f>
        <v>1.0589630633683498</v>
      </c>
    </row>
    <row r="45" spans="1:11">
      <c r="A45" s="152">
        <v>22.158000000000001</v>
      </c>
      <c r="B45" s="152" t="s">
        <v>646</v>
      </c>
      <c r="D45" s="99" t="s">
        <v>496</v>
      </c>
      <c r="E45" s="100"/>
      <c r="F45" s="101"/>
      <c r="G45" s="197">
        <f>_xlfn.T.DIST.RT(G44,G35)</f>
        <v>0.14512862503603824</v>
      </c>
      <c r="K45" t="s">
        <v>597</v>
      </c>
    </row>
    <row r="46" spans="1:11">
      <c r="A46" s="152">
        <v>59.811999999999998</v>
      </c>
      <c r="B46" s="152" t="s">
        <v>647</v>
      </c>
      <c r="D46" s="108"/>
      <c r="E46" s="109"/>
      <c r="F46" s="109"/>
      <c r="G46" s="110"/>
    </row>
    <row r="47" spans="1:11">
      <c r="A47" s="152">
        <v>28.178000000000001</v>
      </c>
      <c r="B47" s="152" t="s">
        <v>646</v>
      </c>
      <c r="D47" s="97" t="s">
        <v>495</v>
      </c>
      <c r="E47" s="114"/>
      <c r="F47" s="114"/>
      <c r="G47" s="98"/>
    </row>
    <row r="48" spans="1:11" ht="17" thickBot="1">
      <c r="A48" s="152">
        <v>30.478000000000002</v>
      </c>
      <c r="B48" s="152" t="s">
        <v>646</v>
      </c>
      <c r="D48" s="102" t="str">
        <f>IF(G45&lt;G33,"Reject Null Hypothesis", "Fail to reject Null Hypothesis")</f>
        <v>Fail to reject Null Hypothesis</v>
      </c>
      <c r="E48" s="103"/>
      <c r="F48" s="103"/>
      <c r="G48" s="104"/>
    </row>
    <row r="49" spans="1:5">
      <c r="A49" s="152">
        <v>33.076000000000001</v>
      </c>
      <c r="B49" s="152" t="s">
        <v>646</v>
      </c>
    </row>
    <row r="50" spans="1:5">
      <c r="A50" s="152">
        <v>38.529000000000003</v>
      </c>
      <c r="B50" s="152" t="s">
        <v>646</v>
      </c>
    </row>
    <row r="51" spans="1:5">
      <c r="A51" s="152">
        <v>25.236000000000001</v>
      </c>
      <c r="B51" s="152" t="s">
        <v>646</v>
      </c>
    </row>
    <row r="52" spans="1:5">
      <c r="A52" s="152">
        <v>43.134</v>
      </c>
      <c r="B52" s="152" t="s">
        <v>646</v>
      </c>
    </row>
    <row r="53" spans="1:5">
      <c r="A53" s="152">
        <v>40.027999999999999</v>
      </c>
      <c r="B53" s="152" t="s">
        <v>646</v>
      </c>
    </row>
    <row r="54" spans="1:5">
      <c r="A54" s="152">
        <v>18.603000000000002</v>
      </c>
      <c r="B54" s="152" t="s">
        <v>645</v>
      </c>
    </row>
    <row r="55" spans="1:5">
      <c r="A55" s="152">
        <v>29.172999999999998</v>
      </c>
      <c r="B55" s="152" t="s">
        <v>646</v>
      </c>
      <c r="D55" s="159" t="s">
        <v>692</v>
      </c>
      <c r="E55" t="s">
        <v>642</v>
      </c>
    </row>
    <row r="56" spans="1:5">
      <c r="A56" s="152">
        <v>36.603000000000002</v>
      </c>
      <c r="B56" s="152" t="s">
        <v>646</v>
      </c>
      <c r="D56" s="160" t="s">
        <v>644</v>
      </c>
      <c r="E56" s="146">
        <v>16</v>
      </c>
    </row>
    <row r="57" spans="1:5">
      <c r="A57" s="152">
        <v>73.004000000000005</v>
      </c>
      <c r="B57" s="152" t="s">
        <v>649</v>
      </c>
      <c r="D57" s="160" t="s">
        <v>645</v>
      </c>
      <c r="E57" s="146">
        <v>52</v>
      </c>
    </row>
    <row r="58" spans="1:5">
      <c r="A58" s="152">
        <v>56.515000000000001</v>
      </c>
      <c r="B58" s="152" t="s">
        <v>647</v>
      </c>
      <c r="D58" s="160" t="s">
        <v>646</v>
      </c>
      <c r="E58" s="146">
        <v>121</v>
      </c>
    </row>
    <row r="59" spans="1:5">
      <c r="A59" s="152">
        <v>61.512</v>
      </c>
      <c r="B59" s="152" t="s">
        <v>647</v>
      </c>
      <c r="D59" s="160" t="s">
        <v>647</v>
      </c>
      <c r="E59" s="146">
        <v>124</v>
      </c>
    </row>
    <row r="60" spans="1:5">
      <c r="A60" s="152">
        <v>80.498000000000005</v>
      </c>
      <c r="B60" s="152" t="s">
        <v>649</v>
      </c>
      <c r="D60" s="160" t="s">
        <v>648</v>
      </c>
      <c r="E60" s="146">
        <v>2</v>
      </c>
    </row>
    <row r="61" spans="1:5">
      <c r="A61" s="152">
        <v>27.545999999999999</v>
      </c>
      <c r="B61" s="152" t="s">
        <v>646</v>
      </c>
      <c r="D61" s="160" t="s">
        <v>649</v>
      </c>
      <c r="E61" s="146">
        <v>85</v>
      </c>
    </row>
    <row r="62" spans="1:5">
      <c r="A62" s="152">
        <v>69.968000000000004</v>
      </c>
      <c r="B62" s="152" t="s">
        <v>649</v>
      </c>
      <c r="D62" s="160" t="s">
        <v>564</v>
      </c>
      <c r="E62" s="146">
        <v>400</v>
      </c>
    </row>
    <row r="63" spans="1:5">
      <c r="A63" s="152">
        <v>79.772000000000006</v>
      </c>
      <c r="B63" s="152" t="s">
        <v>649</v>
      </c>
    </row>
    <row r="64" spans="1:5">
      <c r="A64" s="152">
        <v>25.855</v>
      </c>
      <c r="B64" s="152" t="s">
        <v>646</v>
      </c>
    </row>
    <row r="65" spans="1:5">
      <c r="A65" s="152">
        <v>19.073</v>
      </c>
      <c r="B65" s="152" t="s">
        <v>645</v>
      </c>
    </row>
    <row r="66" spans="1:5" ht="21">
      <c r="A66" s="152">
        <v>26.183</v>
      </c>
      <c r="B66" s="152" t="s">
        <v>646</v>
      </c>
      <c r="D66" s="275" t="s">
        <v>704</v>
      </c>
      <c r="E66" s="275"/>
    </row>
    <row r="67" spans="1:5">
      <c r="A67" s="152">
        <v>13.362</v>
      </c>
      <c r="B67" s="152" t="s">
        <v>645</v>
      </c>
    </row>
    <row r="68" spans="1:5">
      <c r="A68" s="152">
        <v>68.884</v>
      </c>
      <c r="B68" s="152" t="s">
        <v>649</v>
      </c>
    </row>
    <row r="69" spans="1:5">
      <c r="A69" s="152">
        <v>9.5280000000000005</v>
      </c>
      <c r="B69" s="152" t="s">
        <v>645</v>
      </c>
    </row>
    <row r="70" spans="1:5">
      <c r="A70" s="152">
        <v>88.766999999999996</v>
      </c>
      <c r="B70" s="152" t="s">
        <v>644</v>
      </c>
    </row>
    <row r="71" spans="1:5">
      <c r="A71" s="152">
        <v>68.938000000000002</v>
      </c>
      <c r="B71" s="152" t="s">
        <v>649</v>
      </c>
    </row>
    <row r="72" spans="1:5">
      <c r="A72" s="152">
        <v>35.783000000000001</v>
      </c>
      <c r="B72" s="152" t="s">
        <v>646</v>
      </c>
    </row>
    <row r="73" spans="1:5">
      <c r="A73" s="152">
        <v>68.212000000000003</v>
      </c>
      <c r="B73" s="152" t="s">
        <v>649</v>
      </c>
    </row>
    <row r="74" spans="1:5">
      <c r="A74" s="152">
        <v>55.284999999999997</v>
      </c>
      <c r="B74" s="152" t="s">
        <v>647</v>
      </c>
    </row>
    <row r="75" spans="1:5">
      <c r="A75" s="152">
        <v>32.976999999999997</v>
      </c>
      <c r="B75" s="152" t="s">
        <v>646</v>
      </c>
    </row>
    <row r="76" spans="1:5">
      <c r="A76" s="152">
        <v>44.139000000000003</v>
      </c>
      <c r="B76" s="152" t="s">
        <v>647</v>
      </c>
    </row>
    <row r="77" spans="1:5">
      <c r="A77" s="152">
        <v>24.19</v>
      </c>
      <c r="B77" s="152" t="s">
        <v>646</v>
      </c>
    </row>
    <row r="78" spans="1:5">
      <c r="A78" s="152">
        <v>11.8</v>
      </c>
      <c r="B78" s="152" t="s">
        <v>645</v>
      </c>
    </row>
    <row r="79" spans="1:5">
      <c r="A79" s="152">
        <v>41.859000000000002</v>
      </c>
      <c r="B79" s="152" t="s">
        <v>646</v>
      </c>
    </row>
    <row r="80" spans="1:5">
      <c r="A80" s="152">
        <v>35.222999999999999</v>
      </c>
      <c r="B80" s="152" t="s">
        <v>646</v>
      </c>
    </row>
    <row r="81" spans="1:2">
      <c r="A81" s="152">
        <v>58.381</v>
      </c>
      <c r="B81" s="152" t="s">
        <v>647</v>
      </c>
    </row>
    <row r="82" spans="1:2">
      <c r="A82" s="152">
        <v>33.25</v>
      </c>
      <c r="B82" s="152" t="s">
        <v>646</v>
      </c>
    </row>
    <row r="83" spans="1:2">
      <c r="A83" s="152">
        <v>70.576999999999998</v>
      </c>
      <c r="B83" s="152" t="s">
        <v>649</v>
      </c>
    </row>
    <row r="84" spans="1:2">
      <c r="A84" s="152">
        <v>37.936999999999998</v>
      </c>
      <c r="B84" s="152" t="s">
        <v>646</v>
      </c>
    </row>
    <row r="85" spans="1:2">
      <c r="A85" s="152">
        <v>83.709000000000003</v>
      </c>
      <c r="B85" s="152" t="s">
        <v>649</v>
      </c>
    </row>
    <row r="86" spans="1:2">
      <c r="A86" s="152">
        <v>54.889000000000003</v>
      </c>
      <c r="B86" s="152" t="s">
        <v>647</v>
      </c>
    </row>
    <row r="87" spans="1:2">
      <c r="A87" s="152">
        <v>59.725999999999999</v>
      </c>
      <c r="B87" s="152" t="s">
        <v>647</v>
      </c>
    </row>
    <row r="88" spans="1:2">
      <c r="A88" s="152">
        <v>32.404000000000003</v>
      </c>
      <c r="B88" s="152" t="s">
        <v>646</v>
      </c>
    </row>
    <row r="89" spans="1:2">
      <c r="A89" s="152">
        <v>67.697000000000003</v>
      </c>
      <c r="B89" s="152" t="s">
        <v>649</v>
      </c>
    </row>
    <row r="90" spans="1:2">
      <c r="A90" s="152">
        <v>73.944999999999993</v>
      </c>
      <c r="B90" s="152" t="s">
        <v>649</v>
      </c>
    </row>
    <row r="91" spans="1:2">
      <c r="A91" s="152">
        <v>43.927999999999997</v>
      </c>
      <c r="B91" s="152" t="s">
        <v>646</v>
      </c>
    </row>
    <row r="92" spans="1:2">
      <c r="A92" s="152">
        <v>61.006</v>
      </c>
      <c r="B92" s="152" t="s">
        <v>647</v>
      </c>
    </row>
    <row r="93" spans="1:2">
      <c r="A93" s="152">
        <v>35.479999999999997</v>
      </c>
      <c r="B93" s="152" t="s">
        <v>646</v>
      </c>
    </row>
    <row r="94" spans="1:2">
      <c r="A94" s="152">
        <v>68.980999999999995</v>
      </c>
      <c r="B94" s="152" t="s">
        <v>649</v>
      </c>
    </row>
    <row r="95" spans="1:2">
      <c r="A95" s="152">
        <v>43.146000000000001</v>
      </c>
      <c r="B95" s="152" t="s">
        <v>646</v>
      </c>
    </row>
    <row r="96" spans="1:2">
      <c r="A96" s="152">
        <v>78.716999999999999</v>
      </c>
      <c r="B96" s="152" t="s">
        <v>649</v>
      </c>
    </row>
    <row r="97" spans="1:2">
      <c r="A97" s="152">
        <v>25.960999999999999</v>
      </c>
      <c r="B97" s="152" t="s">
        <v>646</v>
      </c>
    </row>
    <row r="98" spans="1:2">
      <c r="A98" s="152">
        <v>84.213999999999999</v>
      </c>
      <c r="B98" s="152" t="s">
        <v>649</v>
      </c>
    </row>
    <row r="99" spans="1:2">
      <c r="A99" s="152">
        <v>44.106999999999999</v>
      </c>
      <c r="B99" s="152" t="s">
        <v>647</v>
      </c>
    </row>
    <row r="100" spans="1:2">
      <c r="A100" s="152">
        <v>66.272000000000006</v>
      </c>
      <c r="B100" s="152" t="s">
        <v>649</v>
      </c>
    </row>
    <row r="101" spans="1:2">
      <c r="A101" s="152">
        <v>61.655999999999999</v>
      </c>
      <c r="B101" s="152" t="s">
        <v>647</v>
      </c>
    </row>
    <row r="102" spans="1:2">
      <c r="A102" s="152">
        <v>62.750999999999998</v>
      </c>
      <c r="B102" s="152" t="s">
        <v>647</v>
      </c>
    </row>
    <row r="103" spans="1:2">
      <c r="A103" s="152">
        <v>67.902000000000001</v>
      </c>
      <c r="B103" s="152" t="s">
        <v>649</v>
      </c>
    </row>
    <row r="104" spans="1:2">
      <c r="A104" s="152">
        <v>26.847999999999999</v>
      </c>
      <c r="B104" s="152" t="s">
        <v>646</v>
      </c>
    </row>
    <row r="105" spans="1:2">
      <c r="A105" s="152">
        <v>70.77</v>
      </c>
      <c r="B105" s="152" t="s">
        <v>649</v>
      </c>
    </row>
    <row r="106" spans="1:2">
      <c r="A106" s="152">
        <v>60.732999999999997</v>
      </c>
      <c r="B106" s="152" t="s">
        <v>647</v>
      </c>
    </row>
    <row r="107" spans="1:2">
      <c r="A107" s="152">
        <v>40.055</v>
      </c>
      <c r="B107" s="152" t="s">
        <v>646</v>
      </c>
    </row>
    <row r="108" spans="1:2">
      <c r="A108" s="152">
        <v>105.56</v>
      </c>
      <c r="B108" s="152" t="s">
        <v>644</v>
      </c>
    </row>
    <row r="109" spans="1:2">
      <c r="A109" s="152">
        <v>76.233000000000004</v>
      </c>
      <c r="B109" s="152" t="s">
        <v>649</v>
      </c>
    </row>
    <row r="110" spans="1:2">
      <c r="A110" s="152">
        <v>66.096999999999994</v>
      </c>
      <c r="B110" s="152" t="s">
        <v>649</v>
      </c>
    </row>
    <row r="111" spans="1:2">
      <c r="A111" s="152">
        <v>23.646000000000001</v>
      </c>
      <c r="B111" s="152" t="s">
        <v>646</v>
      </c>
    </row>
    <row r="112" spans="1:2">
      <c r="A112" s="152">
        <v>27.632999999999999</v>
      </c>
      <c r="B112" s="152" t="s">
        <v>646</v>
      </c>
    </row>
    <row r="113" spans="1:2">
      <c r="A113" s="152">
        <v>83.396000000000001</v>
      </c>
      <c r="B113" s="152" t="s">
        <v>649</v>
      </c>
    </row>
    <row r="114" spans="1:2">
      <c r="A114" s="152">
        <v>56.95</v>
      </c>
      <c r="B114" s="152" t="s">
        <v>647</v>
      </c>
    </row>
    <row r="115" spans="1:2">
      <c r="A115" s="152">
        <v>25.79</v>
      </c>
      <c r="B115" s="152" t="s">
        <v>646</v>
      </c>
    </row>
    <row r="116" spans="1:2">
      <c r="A116" s="152">
        <v>27.190999999999999</v>
      </c>
      <c r="B116" s="152" t="s">
        <v>646</v>
      </c>
    </row>
    <row r="117" spans="1:2">
      <c r="A117" s="152">
        <v>60.615000000000002</v>
      </c>
      <c r="B117" s="152" t="s">
        <v>647</v>
      </c>
    </row>
    <row r="118" spans="1:2">
      <c r="A118" s="152">
        <v>16.399999999999999</v>
      </c>
      <c r="B118" s="152" t="s">
        <v>645</v>
      </c>
    </row>
    <row r="119" spans="1:2">
      <c r="A119" s="152">
        <v>64.406000000000006</v>
      </c>
      <c r="B119" s="152" t="s">
        <v>647</v>
      </c>
    </row>
    <row r="120" spans="1:2">
      <c r="A120" s="152">
        <v>79.677999999999997</v>
      </c>
      <c r="B120" s="152" t="s">
        <v>649</v>
      </c>
    </row>
    <row r="121" spans="1:2">
      <c r="A121" s="152">
        <v>74.650999999999996</v>
      </c>
      <c r="B121" s="152" t="s">
        <v>649</v>
      </c>
    </row>
    <row r="122" spans="1:2">
      <c r="A122" s="152">
        <v>86.753</v>
      </c>
      <c r="B122" s="152" t="s">
        <v>649</v>
      </c>
    </row>
    <row r="123" spans="1:2">
      <c r="A123" s="152">
        <v>31.524999999999999</v>
      </c>
      <c r="B123" s="152" t="s">
        <v>646</v>
      </c>
    </row>
    <row r="124" spans="1:2">
      <c r="A124" s="152">
        <v>34.079000000000001</v>
      </c>
      <c r="B124" s="152" t="s">
        <v>646</v>
      </c>
    </row>
    <row r="125" spans="1:2">
      <c r="A125" s="152">
        <v>9.74</v>
      </c>
      <c r="B125" s="152" t="s">
        <v>645</v>
      </c>
    </row>
    <row r="126" spans="1:2">
      <c r="A126" s="152">
        <v>55.662999999999997</v>
      </c>
      <c r="B126" s="152" t="s">
        <v>647</v>
      </c>
    </row>
    <row r="127" spans="1:2">
      <c r="A127" s="152">
        <v>58.087000000000003</v>
      </c>
      <c r="B127" s="152" t="s">
        <v>647</v>
      </c>
    </row>
    <row r="128" spans="1:2">
      <c r="A128" s="152">
        <v>45.101999999999997</v>
      </c>
      <c r="B128" s="152" t="s">
        <v>647</v>
      </c>
    </row>
    <row r="129" spans="1:2">
      <c r="A129" s="152">
        <v>54.357999999999997</v>
      </c>
      <c r="B129" s="152" t="s">
        <v>647</v>
      </c>
    </row>
    <row r="130" spans="1:2">
      <c r="A130" s="152">
        <v>72.251999999999995</v>
      </c>
      <c r="B130" s="152" t="s">
        <v>649</v>
      </c>
    </row>
    <row r="131" spans="1:2">
      <c r="A131" s="152">
        <v>16.61</v>
      </c>
      <c r="B131" s="152" t="s">
        <v>645</v>
      </c>
    </row>
    <row r="132" spans="1:2">
      <c r="A132" s="152">
        <v>21.760999999999999</v>
      </c>
      <c r="B132" s="152" t="s">
        <v>645</v>
      </c>
    </row>
    <row r="133" spans="1:2">
      <c r="A133" s="152">
        <v>79.548000000000002</v>
      </c>
      <c r="B133" s="152" t="s">
        <v>649</v>
      </c>
    </row>
    <row r="134" spans="1:2">
      <c r="A134" s="152">
        <v>29.475999999999999</v>
      </c>
      <c r="B134" s="152" t="s">
        <v>646</v>
      </c>
    </row>
    <row r="135" spans="1:2">
      <c r="A135" s="152">
        <v>16.651</v>
      </c>
      <c r="B135" s="152" t="s">
        <v>645</v>
      </c>
    </row>
    <row r="136" spans="1:2">
      <c r="A136" s="152">
        <v>39.646999999999998</v>
      </c>
      <c r="B136" s="152" t="s">
        <v>646</v>
      </c>
    </row>
    <row r="137" spans="1:2">
      <c r="A137" s="152">
        <v>69.522999999999996</v>
      </c>
      <c r="B137" s="152" t="s">
        <v>649</v>
      </c>
    </row>
    <row r="138" spans="1:2">
      <c r="A138" s="152">
        <v>76.668000000000006</v>
      </c>
      <c r="B138" s="152" t="s">
        <v>649</v>
      </c>
    </row>
    <row r="139" spans="1:2">
      <c r="A139" s="152">
        <v>137.63999999999999</v>
      </c>
      <c r="B139" s="152" t="s">
        <v>648</v>
      </c>
    </row>
    <row r="140" spans="1:2">
      <c r="A140" s="152">
        <v>63.89</v>
      </c>
      <c r="B140" s="152" t="s">
        <v>647</v>
      </c>
    </row>
    <row r="141" spans="1:2">
      <c r="A141" s="152">
        <v>72.155000000000001</v>
      </c>
      <c r="B141" s="152" t="s">
        <v>649</v>
      </c>
    </row>
    <row r="142" spans="1:2">
      <c r="A142" s="152">
        <v>30.177</v>
      </c>
      <c r="B142" s="152" t="s">
        <v>646</v>
      </c>
    </row>
    <row r="143" spans="1:2">
      <c r="A143" s="152">
        <v>49.253</v>
      </c>
      <c r="B143" s="152" t="s">
        <v>647</v>
      </c>
    </row>
    <row r="144" spans="1:2">
      <c r="A144" s="152">
        <v>85.275999999999996</v>
      </c>
      <c r="B144" s="152" t="s">
        <v>649</v>
      </c>
    </row>
    <row r="145" spans="1:2">
      <c r="A145" s="152">
        <v>45.779000000000003</v>
      </c>
      <c r="B145" s="152" t="s">
        <v>647</v>
      </c>
    </row>
    <row r="146" spans="1:2">
      <c r="A146" s="152">
        <v>56.048000000000002</v>
      </c>
      <c r="B146" s="152" t="s">
        <v>647</v>
      </c>
    </row>
    <row r="147" spans="1:2">
      <c r="A147" s="152">
        <v>40.249000000000002</v>
      </c>
      <c r="B147" s="152" t="s">
        <v>646</v>
      </c>
    </row>
    <row r="148" spans="1:2">
      <c r="A148" s="152">
        <v>88.394000000000005</v>
      </c>
      <c r="B148" s="152" t="s">
        <v>644</v>
      </c>
    </row>
    <row r="149" spans="1:2">
      <c r="A149" s="152">
        <v>49.506</v>
      </c>
      <c r="B149" s="152" t="s">
        <v>647</v>
      </c>
    </row>
    <row r="150" spans="1:2">
      <c r="A150" s="152">
        <v>62.095999999999997</v>
      </c>
      <c r="B150" s="152" t="s">
        <v>647</v>
      </c>
    </row>
    <row r="151" spans="1:2">
      <c r="A151" s="152">
        <v>92.180999999999997</v>
      </c>
      <c r="B151" s="152" t="s">
        <v>644</v>
      </c>
    </row>
    <row r="152" spans="1:2">
      <c r="A152" s="152">
        <v>45.167000000000002</v>
      </c>
      <c r="B152" s="152" t="s">
        <v>647</v>
      </c>
    </row>
    <row r="153" spans="1:2">
      <c r="A153" s="152">
        <v>86.382999999999996</v>
      </c>
      <c r="B153" s="152" t="s">
        <v>649</v>
      </c>
    </row>
    <row r="154" spans="1:2">
      <c r="A154" s="152">
        <v>29.419</v>
      </c>
      <c r="B154" s="152" t="s">
        <v>646</v>
      </c>
    </row>
    <row r="155" spans="1:2">
      <c r="A155" s="152">
        <v>70.506</v>
      </c>
      <c r="B155" s="152" t="s">
        <v>649</v>
      </c>
    </row>
    <row r="156" spans="1:2">
      <c r="A156" s="152">
        <v>93.763999999999996</v>
      </c>
      <c r="B156" s="152" t="s">
        <v>644</v>
      </c>
    </row>
    <row r="157" spans="1:2">
      <c r="A157" s="152">
        <v>6.0190000000000001</v>
      </c>
      <c r="B157" s="152" t="s">
        <v>645</v>
      </c>
    </row>
    <row r="158" spans="1:2">
      <c r="A158" s="152">
        <v>87.414000000000001</v>
      </c>
      <c r="B158" s="152" t="s">
        <v>649</v>
      </c>
    </row>
    <row r="159" spans="1:2">
      <c r="A159" s="152">
        <v>61.896000000000001</v>
      </c>
      <c r="B159" s="152" t="s">
        <v>647</v>
      </c>
    </row>
    <row r="160" spans="1:2">
      <c r="A160" s="152">
        <v>80.953999999999994</v>
      </c>
      <c r="B160" s="152" t="s">
        <v>649</v>
      </c>
    </row>
    <row r="161" spans="1:2">
      <c r="A161" s="152">
        <v>41.207999999999998</v>
      </c>
      <c r="B161" s="152" t="s">
        <v>646</v>
      </c>
    </row>
    <row r="162" spans="1:2">
      <c r="A162" s="152">
        <v>18.265000000000001</v>
      </c>
      <c r="B162" s="152" t="s">
        <v>645</v>
      </c>
    </row>
    <row r="163" spans="1:2">
      <c r="A163" s="152">
        <v>55.404000000000003</v>
      </c>
      <c r="B163" s="152" t="s">
        <v>647</v>
      </c>
    </row>
    <row r="164" spans="1:2">
      <c r="A164" s="152">
        <v>61.651000000000003</v>
      </c>
      <c r="B164" s="152" t="s">
        <v>647</v>
      </c>
    </row>
    <row r="165" spans="1:2">
      <c r="A165" s="152">
        <v>83.631</v>
      </c>
      <c r="B165" s="152" t="s">
        <v>649</v>
      </c>
    </row>
    <row r="166" spans="1:2">
      <c r="A166" s="152">
        <v>134.34700000000001</v>
      </c>
      <c r="B166" s="152" t="s">
        <v>648</v>
      </c>
    </row>
    <row r="167" spans="1:2">
      <c r="A167" s="152">
        <v>26.457999999999998</v>
      </c>
      <c r="B167" s="152" t="s">
        <v>646</v>
      </c>
    </row>
    <row r="168" spans="1:2">
      <c r="A168" s="152">
        <v>61.62</v>
      </c>
      <c r="B168" s="152" t="s">
        <v>647</v>
      </c>
    </row>
    <row r="169" spans="1:2">
      <c r="A169" s="152">
        <v>26.295999999999999</v>
      </c>
      <c r="B169" s="152" t="s">
        <v>646</v>
      </c>
    </row>
    <row r="170" spans="1:2">
      <c r="A170" s="152">
        <v>39.817</v>
      </c>
      <c r="B170" s="152" t="s">
        <v>646</v>
      </c>
    </row>
    <row r="171" spans="1:2">
      <c r="A171" s="152">
        <v>88.3</v>
      </c>
      <c r="B171" s="152" t="s">
        <v>644</v>
      </c>
    </row>
    <row r="172" spans="1:2">
      <c r="A172" s="152">
        <v>78.733000000000004</v>
      </c>
      <c r="B172" s="152" t="s">
        <v>649</v>
      </c>
    </row>
    <row r="173" spans="1:2">
      <c r="A173" s="152">
        <v>28.933</v>
      </c>
      <c r="B173" s="152" t="s">
        <v>646</v>
      </c>
    </row>
    <row r="174" spans="1:2">
      <c r="A174" s="152">
        <v>73.225999999999999</v>
      </c>
      <c r="B174" s="152" t="s">
        <v>649</v>
      </c>
    </row>
    <row r="175" spans="1:2">
      <c r="A175" s="152">
        <v>49.207000000000001</v>
      </c>
      <c r="B175" s="152" t="s">
        <v>647</v>
      </c>
    </row>
    <row r="176" spans="1:2">
      <c r="A176" s="152">
        <v>31.866</v>
      </c>
      <c r="B176" s="152" t="s">
        <v>646</v>
      </c>
    </row>
    <row r="177" spans="1:2">
      <c r="A177" s="152">
        <v>7.6269999999999998</v>
      </c>
      <c r="B177" s="152" t="s">
        <v>645</v>
      </c>
    </row>
    <row r="178" spans="1:2">
      <c r="A178" s="152">
        <v>5.6929999999999996</v>
      </c>
      <c r="B178" s="152" t="s">
        <v>645</v>
      </c>
    </row>
    <row r="179" spans="1:2">
      <c r="A179" s="152">
        <v>45.558999999999997</v>
      </c>
      <c r="B179" s="152" t="s">
        <v>647</v>
      </c>
    </row>
    <row r="180" spans="1:2">
      <c r="A180" s="152">
        <v>40.588000000000001</v>
      </c>
      <c r="B180" s="152" t="s">
        <v>646</v>
      </c>
    </row>
    <row r="181" spans="1:2">
      <c r="A181" s="152">
        <v>74.736000000000004</v>
      </c>
      <c r="B181" s="152" t="s">
        <v>649</v>
      </c>
    </row>
    <row r="182" spans="1:2">
      <c r="A182" s="152">
        <v>42.247999999999998</v>
      </c>
      <c r="B182" s="152" t="s">
        <v>646</v>
      </c>
    </row>
    <row r="183" spans="1:2">
      <c r="A183" s="152">
        <v>44.661999999999999</v>
      </c>
      <c r="B183" s="152" t="s">
        <v>647</v>
      </c>
    </row>
    <row r="184" spans="1:2">
      <c r="A184" s="152">
        <v>45.543999999999997</v>
      </c>
      <c r="B184" s="152" t="s">
        <v>647</v>
      </c>
    </row>
    <row r="185" spans="1:2">
      <c r="A185" s="152">
        <v>16.702999999999999</v>
      </c>
      <c r="B185" s="152" t="s">
        <v>645</v>
      </c>
    </row>
    <row r="186" spans="1:2">
      <c r="A186" s="152">
        <v>31.026</v>
      </c>
      <c r="B186" s="152" t="s">
        <v>646</v>
      </c>
    </row>
    <row r="187" spans="1:2">
      <c r="A187" s="152">
        <v>75.802000000000007</v>
      </c>
      <c r="B187" s="152" t="s">
        <v>649</v>
      </c>
    </row>
    <row r="188" spans="1:2">
      <c r="A188" s="152">
        <v>56.418999999999997</v>
      </c>
      <c r="B188" s="152" t="s">
        <v>647</v>
      </c>
    </row>
    <row r="189" spans="1:2">
      <c r="A189" s="152">
        <v>85.94</v>
      </c>
      <c r="B189" s="152" t="s">
        <v>649</v>
      </c>
    </row>
    <row r="190" spans="1:2">
      <c r="A190" s="152">
        <v>11.473000000000001</v>
      </c>
      <c r="B190" s="152" t="s">
        <v>645</v>
      </c>
    </row>
    <row r="191" spans="1:2">
      <c r="A191" s="152">
        <v>53.555999999999997</v>
      </c>
      <c r="B191" s="152" t="s">
        <v>647</v>
      </c>
    </row>
    <row r="192" spans="1:2">
      <c r="A192" s="152">
        <v>32.177</v>
      </c>
      <c r="B192" s="152" t="s">
        <v>646</v>
      </c>
    </row>
    <row r="193" spans="1:2">
      <c r="A193" s="152">
        <v>21.138000000000002</v>
      </c>
      <c r="B193" s="152" t="s">
        <v>645</v>
      </c>
    </row>
    <row r="194" spans="1:2">
      <c r="A194" s="152">
        <v>15.818</v>
      </c>
      <c r="B194" s="152" t="s">
        <v>645</v>
      </c>
    </row>
    <row r="195" spans="1:2">
      <c r="A195" s="152">
        <v>22.971</v>
      </c>
      <c r="B195" s="152" t="s">
        <v>646</v>
      </c>
    </row>
    <row r="196" spans="1:2">
      <c r="A196" s="152">
        <v>84.477999999999994</v>
      </c>
      <c r="B196" s="152" t="s">
        <v>649</v>
      </c>
    </row>
    <row r="197" spans="1:2">
      <c r="A197" s="152">
        <v>21.079000000000001</v>
      </c>
      <c r="B197" s="152" t="s">
        <v>645</v>
      </c>
    </row>
    <row r="198" spans="1:2">
      <c r="A198" s="152">
        <v>46.56</v>
      </c>
      <c r="B198" s="152" t="s">
        <v>647</v>
      </c>
    </row>
    <row r="199" spans="1:2">
      <c r="A199" s="152">
        <v>74.834000000000003</v>
      </c>
      <c r="B199" s="152" t="s">
        <v>649</v>
      </c>
    </row>
    <row r="200" spans="1:2">
      <c r="A200" s="152">
        <v>70.63</v>
      </c>
      <c r="B200" s="152" t="s">
        <v>649</v>
      </c>
    </row>
    <row r="201" spans="1:2">
      <c r="A201" s="152">
        <v>7.8840000000000003</v>
      </c>
      <c r="B201" s="152" t="s">
        <v>645</v>
      </c>
    </row>
    <row r="202" spans="1:2">
      <c r="A202" s="152">
        <v>58.735999999999997</v>
      </c>
      <c r="B202" s="152" t="s">
        <v>647</v>
      </c>
    </row>
    <row r="203" spans="1:2">
      <c r="A203" s="152">
        <v>44.814999999999998</v>
      </c>
      <c r="B203" s="152" t="s">
        <v>647</v>
      </c>
    </row>
    <row r="204" spans="1:2">
      <c r="A204" s="152">
        <v>52.963999999999999</v>
      </c>
      <c r="B204" s="152" t="s">
        <v>647</v>
      </c>
    </row>
    <row r="205" spans="1:2">
      <c r="A205" s="152">
        <v>47.540999999999997</v>
      </c>
      <c r="B205" s="152" t="s">
        <v>647</v>
      </c>
    </row>
    <row r="206" spans="1:2">
      <c r="A206" s="152">
        <v>75.210999999999999</v>
      </c>
      <c r="B206" s="152" t="s">
        <v>649</v>
      </c>
    </row>
    <row r="207" spans="1:2">
      <c r="A207" s="152">
        <v>64.042000000000002</v>
      </c>
      <c r="B207" s="152" t="s">
        <v>647</v>
      </c>
    </row>
    <row r="208" spans="1:2">
      <c r="A208" s="152">
        <v>54.698</v>
      </c>
      <c r="B208" s="152" t="s">
        <v>647</v>
      </c>
    </row>
    <row r="209" spans="1:2">
      <c r="A209" s="152">
        <v>58.173000000000002</v>
      </c>
      <c r="B209" s="152" t="s">
        <v>647</v>
      </c>
    </row>
    <row r="210" spans="1:2">
      <c r="A210" s="152">
        <v>75.878</v>
      </c>
      <c r="B210" s="152" t="s">
        <v>649</v>
      </c>
    </row>
    <row r="211" spans="1:2">
      <c r="A211" s="152">
        <v>34.79</v>
      </c>
      <c r="B211" s="152" t="s">
        <v>646</v>
      </c>
    </row>
    <row r="212" spans="1:2">
      <c r="A212" s="152">
        <v>50.582999999999998</v>
      </c>
      <c r="B212" s="152" t="s">
        <v>647</v>
      </c>
    </row>
    <row r="213" spans="1:2">
      <c r="A213" s="152">
        <v>32.595999999999997</v>
      </c>
      <c r="B213" s="152" t="s">
        <v>646</v>
      </c>
    </row>
    <row r="214" spans="1:2">
      <c r="A214" s="152">
        <v>61.811999999999998</v>
      </c>
      <c r="B214" s="152" t="s">
        <v>647</v>
      </c>
    </row>
    <row r="215" spans="1:2">
      <c r="A215" s="152">
        <v>50.414000000000001</v>
      </c>
      <c r="B215" s="152" t="s">
        <v>647</v>
      </c>
    </row>
    <row r="216" spans="1:2">
      <c r="A216" s="152">
        <v>46.179000000000002</v>
      </c>
      <c r="B216" s="152" t="s">
        <v>647</v>
      </c>
    </row>
    <row r="217" spans="1:2">
      <c r="A217" s="152">
        <v>41.563000000000002</v>
      </c>
      <c r="B217" s="152" t="s">
        <v>646</v>
      </c>
    </row>
    <row r="218" spans="1:2">
      <c r="A218" s="152">
        <v>90.54</v>
      </c>
      <c r="B218" s="152" t="s">
        <v>644</v>
      </c>
    </row>
    <row r="219" spans="1:2">
      <c r="A219" s="152">
        <v>93.213999999999999</v>
      </c>
      <c r="B219" s="152" t="s">
        <v>644</v>
      </c>
    </row>
    <row r="220" spans="1:2">
      <c r="A220" s="152">
        <v>68.881</v>
      </c>
      <c r="B220" s="152" t="s">
        <v>649</v>
      </c>
    </row>
    <row r="221" spans="1:2">
      <c r="A221" s="152">
        <v>22.989000000000001</v>
      </c>
      <c r="B221" s="152" t="s">
        <v>646</v>
      </c>
    </row>
    <row r="222" spans="1:2">
      <c r="A222" s="152">
        <v>59.466999999999999</v>
      </c>
      <c r="B222" s="152" t="s">
        <v>647</v>
      </c>
    </row>
    <row r="223" spans="1:2">
      <c r="A223" s="152">
        <v>82.37</v>
      </c>
      <c r="B223" s="152" t="s">
        <v>649</v>
      </c>
    </row>
    <row r="224" spans="1:2">
      <c r="A224" s="152">
        <v>69.116</v>
      </c>
      <c r="B224" s="152" t="s">
        <v>649</v>
      </c>
    </row>
    <row r="225" spans="1:2">
      <c r="A225" s="152">
        <v>66.632999999999996</v>
      </c>
      <c r="B225" s="152" t="s">
        <v>649</v>
      </c>
    </row>
    <row r="226" spans="1:2">
      <c r="A226" s="152">
        <v>19.917000000000002</v>
      </c>
      <c r="B226" s="152" t="s">
        <v>645</v>
      </c>
    </row>
    <row r="227" spans="1:2">
      <c r="A227" s="152">
        <v>34.683999999999997</v>
      </c>
      <c r="B227" s="152" t="s">
        <v>646</v>
      </c>
    </row>
    <row r="228" spans="1:2">
      <c r="A228" s="152">
        <v>29.614000000000001</v>
      </c>
      <c r="B228" s="152" t="s">
        <v>646</v>
      </c>
    </row>
    <row r="229" spans="1:2">
      <c r="A229" s="152">
        <v>17.690999999999999</v>
      </c>
      <c r="B229" s="152" t="s">
        <v>645</v>
      </c>
    </row>
    <row r="230" spans="1:2">
      <c r="A230" s="152">
        <v>8.702</v>
      </c>
      <c r="B230" s="152" t="s">
        <v>645</v>
      </c>
    </row>
    <row r="231" spans="1:2">
      <c r="A231" s="152">
        <v>53.198</v>
      </c>
      <c r="B231" s="152" t="s">
        <v>647</v>
      </c>
    </row>
    <row r="232" spans="1:2">
      <c r="A232" s="152">
        <v>59.451999999999998</v>
      </c>
      <c r="B232" s="152" t="s">
        <v>647</v>
      </c>
    </row>
    <row r="233" spans="1:2">
      <c r="A233" s="152">
        <v>37.430999999999997</v>
      </c>
      <c r="B233" s="152" t="s">
        <v>646</v>
      </c>
    </row>
    <row r="234" spans="1:2">
      <c r="A234" s="152">
        <v>48.484999999999999</v>
      </c>
      <c r="B234" s="152" t="s">
        <v>647</v>
      </c>
    </row>
    <row r="235" spans="1:2">
      <c r="A235" s="152">
        <v>48.764000000000003</v>
      </c>
      <c r="B235" s="152" t="s">
        <v>647</v>
      </c>
    </row>
    <row r="236" spans="1:2">
      <c r="A236" s="152">
        <v>77.566999999999993</v>
      </c>
      <c r="B236" s="152" t="s">
        <v>649</v>
      </c>
    </row>
    <row r="237" spans="1:2">
      <c r="A237" s="152">
        <v>88.251000000000005</v>
      </c>
      <c r="B237" s="152" t="s">
        <v>644</v>
      </c>
    </row>
    <row r="238" spans="1:2">
      <c r="A238" s="152">
        <v>29.036999999999999</v>
      </c>
      <c r="B238" s="152" t="s">
        <v>646</v>
      </c>
    </row>
    <row r="239" spans="1:2">
      <c r="A239" s="152">
        <v>41.875999999999998</v>
      </c>
      <c r="B239" s="152" t="s">
        <v>646</v>
      </c>
    </row>
    <row r="240" spans="1:2">
      <c r="A240" s="152">
        <v>43.820999999999998</v>
      </c>
      <c r="B240" s="152" t="s">
        <v>646</v>
      </c>
    </row>
    <row r="241" spans="1:2">
      <c r="A241" s="152">
        <v>78.427000000000007</v>
      </c>
      <c r="B241" s="152" t="s">
        <v>649</v>
      </c>
    </row>
    <row r="242" spans="1:2">
      <c r="A242" s="152">
        <v>49.826000000000001</v>
      </c>
      <c r="B242" s="152" t="s">
        <v>647</v>
      </c>
    </row>
    <row r="243" spans="1:2">
      <c r="A243" s="152">
        <v>83.674999999999997</v>
      </c>
      <c r="B243" s="152" t="s">
        <v>649</v>
      </c>
    </row>
    <row r="244" spans="1:2">
      <c r="A244" s="152">
        <v>46.741999999999997</v>
      </c>
      <c r="B244" s="152" t="s">
        <v>647</v>
      </c>
    </row>
    <row r="245" spans="1:2">
      <c r="A245" s="152">
        <v>77.100999999999999</v>
      </c>
      <c r="B245" s="152" t="s">
        <v>649</v>
      </c>
    </row>
    <row r="246" spans="1:2">
      <c r="A246" s="152">
        <v>51.88</v>
      </c>
      <c r="B246" s="152" t="s">
        <v>647</v>
      </c>
    </row>
    <row r="247" spans="1:2">
      <c r="A247" s="152">
        <v>81.266000000000005</v>
      </c>
      <c r="B247" s="152" t="s">
        <v>649</v>
      </c>
    </row>
    <row r="248" spans="1:2">
      <c r="A248" s="152">
        <v>31.344999999999999</v>
      </c>
      <c r="B248" s="152" t="s">
        <v>646</v>
      </c>
    </row>
    <row r="249" spans="1:2">
      <c r="A249" s="152">
        <v>81.611000000000004</v>
      </c>
      <c r="B249" s="152" t="s">
        <v>649</v>
      </c>
    </row>
    <row r="250" spans="1:2">
      <c r="A250" s="152">
        <v>49.843000000000004</v>
      </c>
      <c r="B250" s="152" t="s">
        <v>647</v>
      </c>
    </row>
    <row r="251" spans="1:2">
      <c r="A251" s="152">
        <v>19.718</v>
      </c>
      <c r="B251" s="152" t="s">
        <v>645</v>
      </c>
    </row>
    <row r="252" spans="1:2">
      <c r="A252" s="152">
        <v>27.7</v>
      </c>
      <c r="B252" s="152" t="s">
        <v>646</v>
      </c>
    </row>
    <row r="253" spans="1:2">
      <c r="A253" s="152">
        <v>45.447000000000003</v>
      </c>
      <c r="B253" s="152" t="s">
        <v>647</v>
      </c>
    </row>
    <row r="254" spans="1:2">
      <c r="A254" s="152">
        <v>62.951999999999998</v>
      </c>
      <c r="B254" s="152" t="s">
        <v>647</v>
      </c>
    </row>
    <row r="255" spans="1:2">
      <c r="A255" s="152">
        <v>39.926000000000002</v>
      </c>
      <c r="B255" s="152" t="s">
        <v>646</v>
      </c>
    </row>
    <row r="256" spans="1:2">
      <c r="A256" s="152">
        <v>26.83</v>
      </c>
      <c r="B256" s="152" t="s">
        <v>646</v>
      </c>
    </row>
    <row r="257" spans="1:2">
      <c r="A257" s="152">
        <v>47.259</v>
      </c>
      <c r="B257" s="152" t="s">
        <v>647</v>
      </c>
    </row>
    <row r="258" spans="1:2">
      <c r="A258" s="152">
        <v>63.597999999999999</v>
      </c>
      <c r="B258" s="152" t="s">
        <v>647</v>
      </c>
    </row>
    <row r="259" spans="1:2">
      <c r="A259" s="152">
        <v>61.579000000000001</v>
      </c>
      <c r="B259" s="152" t="s">
        <v>647</v>
      </c>
    </row>
    <row r="260" spans="1:2">
      <c r="A260" s="152">
        <v>78.978999999999999</v>
      </c>
      <c r="B260" s="152" t="s">
        <v>649</v>
      </c>
    </row>
    <row r="261" spans="1:2">
      <c r="A261" s="152">
        <v>78.134</v>
      </c>
      <c r="B261" s="152" t="s">
        <v>649</v>
      </c>
    </row>
    <row r="262" spans="1:2">
      <c r="A262" s="152">
        <v>14.388999999999999</v>
      </c>
      <c r="B262" s="152" t="s">
        <v>645</v>
      </c>
    </row>
    <row r="263" spans="1:2">
      <c r="A263" s="152">
        <v>34.430999999999997</v>
      </c>
      <c r="B263" s="152" t="s">
        <v>646</v>
      </c>
    </row>
    <row r="264" spans="1:2">
      <c r="A264" s="152">
        <v>73.447000000000003</v>
      </c>
      <c r="B264" s="152" t="s">
        <v>649</v>
      </c>
    </row>
    <row r="265" spans="1:2">
      <c r="A265" s="152">
        <v>108.227</v>
      </c>
      <c r="B265" s="152" t="s">
        <v>644</v>
      </c>
    </row>
    <row r="266" spans="1:2">
      <c r="A266" s="152">
        <v>68.197999999999993</v>
      </c>
      <c r="B266" s="152" t="s">
        <v>649</v>
      </c>
    </row>
    <row r="267" spans="1:2">
      <c r="A267" s="152">
        <v>48.252000000000002</v>
      </c>
      <c r="B267" s="152" t="s">
        <v>647</v>
      </c>
    </row>
    <row r="268" spans="1:2">
      <c r="A268" s="152">
        <v>67.492999999999995</v>
      </c>
      <c r="B268" s="152" t="s">
        <v>649</v>
      </c>
    </row>
    <row r="269" spans="1:2">
      <c r="A269" s="152">
        <v>8.6549999999999994</v>
      </c>
      <c r="B269" s="152" t="s">
        <v>645</v>
      </c>
    </row>
    <row r="270" spans="1:2">
      <c r="A270" s="152">
        <v>122.913</v>
      </c>
      <c r="B270" s="152" t="s">
        <v>644</v>
      </c>
    </row>
    <row r="271" spans="1:2">
      <c r="A271" s="152">
        <v>81.756</v>
      </c>
      <c r="B271" s="152" t="s">
        <v>649</v>
      </c>
    </row>
    <row r="272" spans="1:2">
      <c r="A272" s="152">
        <v>76.995999999999995</v>
      </c>
      <c r="B272" s="152" t="s">
        <v>649</v>
      </c>
    </row>
    <row r="273" spans="1:2">
      <c r="A273" s="152">
        <v>40.551000000000002</v>
      </c>
      <c r="B273" s="152" t="s">
        <v>646</v>
      </c>
    </row>
    <row r="274" spans="1:2">
      <c r="A274" s="152">
        <v>56.929000000000002</v>
      </c>
      <c r="B274" s="152" t="s">
        <v>647</v>
      </c>
    </row>
    <row r="275" spans="1:2">
      <c r="A275" s="152">
        <v>58.874000000000002</v>
      </c>
      <c r="B275" s="152" t="s">
        <v>647</v>
      </c>
    </row>
    <row r="276" spans="1:2">
      <c r="A276" s="152">
        <v>10.159000000000001</v>
      </c>
      <c r="B276" s="152" t="s">
        <v>645</v>
      </c>
    </row>
    <row r="277" spans="1:2">
      <c r="A277" s="152">
        <v>37.042999999999999</v>
      </c>
      <c r="B277" s="152" t="s">
        <v>646</v>
      </c>
    </row>
    <row r="278" spans="1:2">
      <c r="A278" s="152">
        <v>53.613</v>
      </c>
      <c r="B278" s="152" t="s">
        <v>647</v>
      </c>
    </row>
    <row r="279" spans="1:2">
      <c r="A279" s="152">
        <v>46.360999999999997</v>
      </c>
      <c r="B279" s="152" t="s">
        <v>647</v>
      </c>
    </row>
    <row r="280" spans="1:2">
      <c r="A280" s="152">
        <v>55.649000000000001</v>
      </c>
      <c r="B280" s="152" t="s">
        <v>647</v>
      </c>
    </row>
    <row r="281" spans="1:2">
      <c r="A281" s="152">
        <v>32.064999999999998</v>
      </c>
      <c r="B281" s="152" t="s">
        <v>646</v>
      </c>
    </row>
    <row r="282" spans="1:2">
      <c r="A282" s="152">
        <v>8.5210000000000008</v>
      </c>
      <c r="B282" s="152" t="s">
        <v>645</v>
      </c>
    </row>
    <row r="283" spans="1:2">
      <c r="A283" s="152">
        <v>31.047999999999998</v>
      </c>
      <c r="B283" s="152" t="s">
        <v>646</v>
      </c>
    </row>
    <row r="284" spans="1:2">
      <c r="A284" s="152">
        <v>15.81</v>
      </c>
      <c r="B284" s="152" t="s">
        <v>645</v>
      </c>
    </row>
    <row r="285" spans="1:2">
      <c r="A285" s="152">
        <v>52.011000000000003</v>
      </c>
      <c r="B285" s="152" t="s">
        <v>647</v>
      </c>
    </row>
    <row r="286" spans="1:2">
      <c r="A286" s="152">
        <v>19.332999999999998</v>
      </c>
      <c r="B286" s="152" t="s">
        <v>645</v>
      </c>
    </row>
    <row r="287" spans="1:2">
      <c r="A287" s="152">
        <v>22.359000000000002</v>
      </c>
      <c r="B287" s="152" t="s">
        <v>646</v>
      </c>
    </row>
    <row r="288" spans="1:2">
      <c r="A288" s="152">
        <v>23.946000000000002</v>
      </c>
      <c r="B288" s="152" t="s">
        <v>646</v>
      </c>
    </row>
    <row r="289" spans="1:2">
      <c r="A289" s="152">
        <v>49.584000000000003</v>
      </c>
      <c r="B289" s="152" t="s">
        <v>647</v>
      </c>
    </row>
    <row r="290" spans="1:2">
      <c r="A290" s="152">
        <v>17.37</v>
      </c>
      <c r="B290" s="152" t="s">
        <v>645</v>
      </c>
    </row>
    <row r="291" spans="1:2">
      <c r="A291" s="152">
        <v>37.393000000000001</v>
      </c>
      <c r="B291" s="152" t="s">
        <v>646</v>
      </c>
    </row>
    <row r="292" spans="1:2">
      <c r="A292" s="152">
        <v>79.382000000000005</v>
      </c>
      <c r="B292" s="152" t="s">
        <v>649</v>
      </c>
    </row>
    <row r="293" spans="1:2">
      <c r="A293" s="152">
        <v>48.103000000000002</v>
      </c>
      <c r="B293" s="152" t="s">
        <v>647</v>
      </c>
    </row>
    <row r="294" spans="1:2">
      <c r="A294" s="152">
        <v>33.335999999999999</v>
      </c>
      <c r="B294" s="152" t="s">
        <v>646</v>
      </c>
    </row>
    <row r="295" spans="1:2">
      <c r="A295" s="152">
        <v>80.941000000000003</v>
      </c>
      <c r="B295" s="152" t="s">
        <v>649</v>
      </c>
    </row>
    <row r="296" spans="1:2">
      <c r="A296" s="152">
        <v>38.837000000000003</v>
      </c>
      <c r="B296" s="152" t="s">
        <v>646</v>
      </c>
    </row>
    <row r="297" spans="1:2">
      <c r="A297" s="152">
        <v>80.108999999999995</v>
      </c>
      <c r="B297" s="152" t="s">
        <v>649</v>
      </c>
    </row>
    <row r="298" spans="1:2">
      <c r="A298" s="152">
        <v>84.346000000000004</v>
      </c>
      <c r="B298" s="152" t="s">
        <v>649</v>
      </c>
    </row>
    <row r="299" spans="1:2">
      <c r="A299" s="152">
        <v>38.698</v>
      </c>
      <c r="B299" s="152" t="s">
        <v>646</v>
      </c>
    </row>
    <row r="300" spans="1:2">
      <c r="A300" s="152">
        <v>53.28</v>
      </c>
      <c r="B300" s="152" t="s">
        <v>647</v>
      </c>
    </row>
    <row r="301" spans="1:2">
      <c r="A301" s="152">
        <v>66.981999999999999</v>
      </c>
      <c r="B301" s="152" t="s">
        <v>649</v>
      </c>
    </row>
    <row r="302" spans="1:2">
      <c r="A302" s="152">
        <v>21.126999999999999</v>
      </c>
      <c r="B302" s="152" t="s">
        <v>645</v>
      </c>
    </row>
    <row r="303" spans="1:2">
      <c r="A303" s="152">
        <v>21.079000000000001</v>
      </c>
      <c r="B303" s="152" t="s">
        <v>645</v>
      </c>
    </row>
    <row r="304" spans="1:2">
      <c r="A304" s="152">
        <v>14.46</v>
      </c>
      <c r="B304" s="152" t="s">
        <v>645</v>
      </c>
    </row>
    <row r="305" spans="1:2">
      <c r="A305" s="152">
        <v>39.276000000000003</v>
      </c>
      <c r="B305" s="152" t="s">
        <v>646</v>
      </c>
    </row>
    <row r="306" spans="1:2">
      <c r="A306" s="152">
        <v>89.844999999999999</v>
      </c>
      <c r="B306" s="152" t="s">
        <v>644</v>
      </c>
    </row>
    <row r="307" spans="1:2">
      <c r="A307" s="152">
        <v>75.736000000000004</v>
      </c>
      <c r="B307" s="152" t="s">
        <v>649</v>
      </c>
    </row>
    <row r="308" spans="1:2">
      <c r="A308" s="152">
        <v>38.142000000000003</v>
      </c>
      <c r="B308" s="152" t="s">
        <v>646</v>
      </c>
    </row>
    <row r="309" spans="1:2">
      <c r="A309" s="152">
        <v>7.3719999999999999</v>
      </c>
      <c r="B309" s="152" t="s">
        <v>645</v>
      </c>
    </row>
    <row r="310" spans="1:2">
      <c r="A310" s="152">
        <v>54.445999999999998</v>
      </c>
      <c r="B310" s="152" t="s">
        <v>647</v>
      </c>
    </row>
    <row r="311" spans="1:2">
      <c r="A311" s="152">
        <v>73.381</v>
      </c>
      <c r="B311" s="152" t="s">
        <v>649</v>
      </c>
    </row>
    <row r="312" spans="1:2">
      <c r="A312" s="152">
        <v>88.269000000000005</v>
      </c>
      <c r="B312" s="152" t="s">
        <v>644</v>
      </c>
    </row>
    <row r="313" spans="1:2">
      <c r="A313" s="152">
        <v>52.216000000000001</v>
      </c>
      <c r="B313" s="152" t="s">
        <v>647</v>
      </c>
    </row>
    <row r="314" spans="1:2">
      <c r="A314" s="152">
        <v>65.174000000000007</v>
      </c>
      <c r="B314" s="152" t="s">
        <v>647</v>
      </c>
    </row>
    <row r="315" spans="1:2">
      <c r="A315" s="152">
        <v>12.454000000000001</v>
      </c>
      <c r="B315" s="152" t="s">
        <v>645</v>
      </c>
    </row>
    <row r="316" spans="1:2">
      <c r="A316" s="152">
        <v>30.308</v>
      </c>
      <c r="B316" s="152" t="s">
        <v>646</v>
      </c>
    </row>
    <row r="317" spans="1:2">
      <c r="A317" s="152">
        <v>21.396000000000001</v>
      </c>
      <c r="B317" s="152" t="s">
        <v>645</v>
      </c>
    </row>
    <row r="318" spans="1:2">
      <c r="A318" s="152">
        <v>28.696999999999999</v>
      </c>
      <c r="B318" s="152" t="s">
        <v>646</v>
      </c>
    </row>
    <row r="319" spans="1:2">
      <c r="A319" s="152">
        <v>108.714</v>
      </c>
      <c r="B319" s="152" t="s">
        <v>644</v>
      </c>
    </row>
    <row r="320" spans="1:2">
      <c r="A320" s="152">
        <v>41.234999999999999</v>
      </c>
      <c r="B320" s="152" t="s">
        <v>646</v>
      </c>
    </row>
    <row r="321" spans="1:2">
      <c r="A321" s="152">
        <v>54.036999999999999</v>
      </c>
      <c r="B321" s="152" t="s">
        <v>647</v>
      </c>
    </row>
    <row r="322" spans="1:2">
      <c r="A322" s="152">
        <v>24.859000000000002</v>
      </c>
      <c r="B322" s="152" t="s">
        <v>646</v>
      </c>
    </row>
    <row r="323" spans="1:2">
      <c r="A323" s="152">
        <v>34.957000000000001</v>
      </c>
      <c r="B323" s="152" t="s">
        <v>646</v>
      </c>
    </row>
    <row r="324" spans="1:2">
      <c r="A324" s="152">
        <v>70.081000000000003</v>
      </c>
      <c r="B324" s="152" t="s">
        <v>649</v>
      </c>
    </row>
    <row r="325" spans="1:2">
      <c r="A325" s="152">
        <v>56.091000000000001</v>
      </c>
      <c r="B325" s="152" t="s">
        <v>647</v>
      </c>
    </row>
    <row r="326" spans="1:2">
      <c r="A326" s="152">
        <v>64.025000000000006</v>
      </c>
      <c r="B326" s="152" t="s">
        <v>647</v>
      </c>
    </row>
    <row r="327" spans="1:2">
      <c r="A327" s="152">
        <v>22.879000000000001</v>
      </c>
      <c r="B327" s="152" t="s">
        <v>646</v>
      </c>
    </row>
    <row r="328" spans="1:2">
      <c r="A328" s="152">
        <v>7.2770000000000001</v>
      </c>
      <c r="B328" s="152" t="s">
        <v>645</v>
      </c>
    </row>
    <row r="329" spans="1:2">
      <c r="A329" s="152">
        <v>56.250999999999998</v>
      </c>
      <c r="B329" s="152" t="s">
        <v>647</v>
      </c>
    </row>
    <row r="330" spans="1:2">
      <c r="A330" s="152">
        <v>22.423999999999999</v>
      </c>
      <c r="B330" s="152" t="s">
        <v>646</v>
      </c>
    </row>
    <row r="331" spans="1:2">
      <c r="A331" s="152">
        <v>31.222999999999999</v>
      </c>
      <c r="B331" s="152" t="s">
        <v>646</v>
      </c>
    </row>
    <row r="332" spans="1:2">
      <c r="A332" s="152">
        <v>67.263999999999996</v>
      </c>
      <c r="B332" s="152" t="s">
        <v>649</v>
      </c>
    </row>
    <row r="333" spans="1:2">
      <c r="A333" s="152">
        <v>37.622</v>
      </c>
      <c r="B333" s="152" t="s">
        <v>646</v>
      </c>
    </row>
    <row r="334" spans="1:2">
      <c r="A334" s="152">
        <v>32.847000000000001</v>
      </c>
      <c r="B334" s="152" t="s">
        <v>646</v>
      </c>
    </row>
    <row r="335" spans="1:2">
      <c r="A335" s="152">
        <v>38.247999999999998</v>
      </c>
      <c r="B335" s="152" t="s">
        <v>646</v>
      </c>
    </row>
    <row r="336" spans="1:2">
      <c r="A336" s="152">
        <v>20.559000000000001</v>
      </c>
      <c r="B336" s="152" t="s">
        <v>645</v>
      </c>
    </row>
    <row r="337" spans="1:2">
      <c r="A337" s="152">
        <v>47.703000000000003</v>
      </c>
      <c r="B337" s="152" t="s">
        <v>647</v>
      </c>
    </row>
    <row r="338" spans="1:2">
      <c r="A338" s="152">
        <v>25.73</v>
      </c>
      <c r="B338" s="152" t="s">
        <v>646</v>
      </c>
    </row>
    <row r="339" spans="1:2">
      <c r="A339" s="152">
        <v>65.188000000000002</v>
      </c>
      <c r="B339" s="152" t="s">
        <v>647</v>
      </c>
    </row>
    <row r="340" spans="1:2">
      <c r="A340" s="152">
        <v>69.259</v>
      </c>
      <c r="B340" s="152" t="s">
        <v>649</v>
      </c>
    </row>
    <row r="341" spans="1:2">
      <c r="A341" s="152">
        <v>21.105</v>
      </c>
      <c r="B341" s="152" t="s">
        <v>645</v>
      </c>
    </row>
    <row r="342" spans="1:2">
      <c r="A342" s="152">
        <v>83.373000000000005</v>
      </c>
      <c r="B342" s="152" t="s">
        <v>649</v>
      </c>
    </row>
    <row r="343" spans="1:2">
      <c r="A343" s="152">
        <v>49.087000000000003</v>
      </c>
      <c r="B343" s="152" t="s">
        <v>647</v>
      </c>
    </row>
    <row r="344" spans="1:2">
      <c r="A344" s="152">
        <v>31.585000000000001</v>
      </c>
      <c r="B344" s="152" t="s">
        <v>646</v>
      </c>
    </row>
    <row r="345" spans="1:2">
      <c r="A345" s="152">
        <v>8.7080000000000002</v>
      </c>
      <c r="B345" s="152" t="s">
        <v>645</v>
      </c>
    </row>
    <row r="346" spans="1:2">
      <c r="A346" s="152">
        <v>29.417000000000002</v>
      </c>
      <c r="B346" s="152" t="s">
        <v>646</v>
      </c>
    </row>
    <row r="347" spans="1:2">
      <c r="A347" s="152">
        <v>63.65</v>
      </c>
      <c r="B347" s="152" t="s">
        <v>647</v>
      </c>
    </row>
    <row r="348" spans="1:2">
      <c r="A348" s="152">
        <v>37.139000000000003</v>
      </c>
      <c r="B348" s="152" t="s">
        <v>646</v>
      </c>
    </row>
    <row r="349" spans="1:2">
      <c r="A349" s="152">
        <v>59.518999999999998</v>
      </c>
      <c r="B349" s="152" t="s">
        <v>647</v>
      </c>
    </row>
    <row r="350" spans="1:2">
      <c r="A350" s="152">
        <v>53.723999999999997</v>
      </c>
      <c r="B350" s="152" t="s">
        <v>647</v>
      </c>
    </row>
    <row r="351" spans="1:2">
      <c r="A351" s="152">
        <v>36.396000000000001</v>
      </c>
      <c r="B351" s="152" t="s">
        <v>646</v>
      </c>
    </row>
    <row r="352" spans="1:2">
      <c r="A352" s="152">
        <v>28.404</v>
      </c>
      <c r="B352" s="152" t="s">
        <v>646</v>
      </c>
    </row>
    <row r="353" spans="1:2">
      <c r="A353" s="152">
        <v>56.265999999999998</v>
      </c>
      <c r="B353" s="152" t="s">
        <v>647</v>
      </c>
    </row>
    <row r="354" spans="1:2">
      <c r="A354" s="152">
        <v>65.697000000000003</v>
      </c>
      <c r="B354" s="152" t="s">
        <v>647</v>
      </c>
    </row>
    <row r="355" spans="1:2">
      <c r="A355" s="152">
        <v>56.802999999999997</v>
      </c>
      <c r="B355" s="152" t="s">
        <v>647</v>
      </c>
    </row>
    <row r="356" spans="1:2">
      <c r="A356" s="152">
        <v>68.638000000000005</v>
      </c>
      <c r="B356" s="152" t="s">
        <v>649</v>
      </c>
    </row>
    <row r="357" spans="1:2">
      <c r="A357" s="152">
        <v>67.024000000000001</v>
      </c>
      <c r="B357" s="152" t="s">
        <v>649</v>
      </c>
    </row>
    <row r="358" spans="1:2">
      <c r="A358" s="152">
        <v>23.2</v>
      </c>
      <c r="B358" s="152" t="s">
        <v>646</v>
      </c>
    </row>
    <row r="359" spans="1:2">
      <c r="A359" s="152">
        <v>49.152999999999999</v>
      </c>
      <c r="B359" s="152" t="s">
        <v>647</v>
      </c>
    </row>
    <row r="360" spans="1:2">
      <c r="A360" s="152">
        <v>52.996000000000002</v>
      </c>
      <c r="B360" s="152" t="s">
        <v>647</v>
      </c>
    </row>
    <row r="361" spans="1:2">
      <c r="A361" s="152">
        <v>26.882000000000001</v>
      </c>
      <c r="B361" s="152" t="s">
        <v>646</v>
      </c>
    </row>
    <row r="362" spans="1:2">
      <c r="A362" s="152">
        <v>52.482999999999997</v>
      </c>
      <c r="B362" s="152" t="s">
        <v>647</v>
      </c>
    </row>
    <row r="363" spans="1:2">
      <c r="A363" s="152">
        <v>55.899000000000001</v>
      </c>
      <c r="B363" s="152" t="s">
        <v>647</v>
      </c>
    </row>
    <row r="364" spans="1:2">
      <c r="A364" s="152">
        <v>45.930999999999997</v>
      </c>
      <c r="B364" s="152" t="s">
        <v>647</v>
      </c>
    </row>
    <row r="365" spans="1:2">
      <c r="A365" s="152">
        <v>44.101999999999997</v>
      </c>
      <c r="B365" s="152" t="s">
        <v>647</v>
      </c>
    </row>
    <row r="366" spans="1:2">
      <c r="A366" s="152">
        <v>56.399000000000001</v>
      </c>
      <c r="B366" s="152" t="s">
        <v>647</v>
      </c>
    </row>
    <row r="367" spans="1:2">
      <c r="A367" s="152">
        <v>28.715</v>
      </c>
      <c r="B367" s="152" t="s">
        <v>646</v>
      </c>
    </row>
    <row r="368" spans="1:2">
      <c r="A368" s="152">
        <v>68.61</v>
      </c>
      <c r="B368" s="152" t="s">
        <v>649</v>
      </c>
    </row>
    <row r="369" spans="1:2">
      <c r="A369" s="152">
        <v>46.334000000000003</v>
      </c>
      <c r="B369" s="152" t="s">
        <v>647</v>
      </c>
    </row>
    <row r="370" spans="1:2">
      <c r="A370" s="152">
        <v>52.887</v>
      </c>
      <c r="B370" s="152" t="s">
        <v>647</v>
      </c>
    </row>
    <row r="371" spans="1:2">
      <c r="A371" s="152">
        <v>60.918999999999997</v>
      </c>
      <c r="B371" s="152" t="s">
        <v>647</v>
      </c>
    </row>
    <row r="372" spans="1:2">
      <c r="A372" s="152">
        <v>58.548000000000002</v>
      </c>
      <c r="B372" s="152" t="s">
        <v>647</v>
      </c>
    </row>
    <row r="373" spans="1:2">
      <c r="A373" s="152">
        <v>66.304000000000002</v>
      </c>
      <c r="B373" s="152" t="s">
        <v>649</v>
      </c>
    </row>
    <row r="374" spans="1:2">
      <c r="A374" s="152">
        <v>50.298000000000002</v>
      </c>
      <c r="B374" s="152" t="s">
        <v>647</v>
      </c>
    </row>
    <row r="375" spans="1:2">
      <c r="A375" s="152">
        <v>68.683000000000007</v>
      </c>
      <c r="B375" s="152" t="s">
        <v>649</v>
      </c>
    </row>
    <row r="376" spans="1:2">
      <c r="A376" s="152">
        <v>47.271999999999998</v>
      </c>
      <c r="B376" s="152" t="s">
        <v>647</v>
      </c>
    </row>
    <row r="377" spans="1:2">
      <c r="A377" s="152">
        <v>22.423999999999999</v>
      </c>
      <c r="B377" s="152" t="s">
        <v>646</v>
      </c>
    </row>
    <row r="378" spans="1:2">
      <c r="A378" s="152">
        <v>36.564</v>
      </c>
      <c r="B378" s="152" t="s">
        <v>646</v>
      </c>
    </row>
    <row r="379" spans="1:2">
      <c r="A379" s="152">
        <v>13.78</v>
      </c>
      <c r="B379" s="152" t="s">
        <v>645</v>
      </c>
    </row>
    <row r="380" spans="1:2">
      <c r="A380" s="152">
        <v>55.085999999999999</v>
      </c>
      <c r="B380" s="152" t="s">
        <v>647</v>
      </c>
    </row>
    <row r="381" spans="1:2">
      <c r="A381" s="152">
        <v>31.138999999999999</v>
      </c>
      <c r="B381" s="152" t="s">
        <v>646</v>
      </c>
    </row>
    <row r="382" spans="1:2">
      <c r="A382" s="152">
        <v>60.865000000000002</v>
      </c>
      <c r="B382" s="152" t="s">
        <v>647</v>
      </c>
    </row>
    <row r="383" spans="1:2">
      <c r="A383" s="152">
        <v>53.237000000000002</v>
      </c>
      <c r="B383" s="152" t="s">
        <v>647</v>
      </c>
    </row>
    <row r="384" spans="1:2">
      <c r="A384" s="152">
        <v>10.146000000000001</v>
      </c>
      <c r="B384" s="152" t="s">
        <v>645</v>
      </c>
    </row>
    <row r="385" spans="1:2">
      <c r="A385" s="152">
        <v>42.595999999999997</v>
      </c>
      <c r="B385" s="152" t="s">
        <v>646</v>
      </c>
    </row>
    <row r="386" spans="1:2">
      <c r="A386" s="152">
        <v>39.588000000000001</v>
      </c>
      <c r="B386" s="152" t="s">
        <v>646</v>
      </c>
    </row>
    <row r="387" spans="1:2">
      <c r="A387" s="152">
        <v>28.082000000000001</v>
      </c>
      <c r="B387" s="152" t="s">
        <v>646</v>
      </c>
    </row>
    <row r="388" spans="1:2">
      <c r="A388" s="152">
        <v>47.07</v>
      </c>
      <c r="B388" s="152" t="s">
        <v>647</v>
      </c>
    </row>
    <row r="389" spans="1:2">
      <c r="A389" s="152">
        <v>47.037999999999997</v>
      </c>
      <c r="B389" s="152" t="s">
        <v>647</v>
      </c>
    </row>
    <row r="390" spans="1:2">
      <c r="A390" s="152">
        <v>38.031999999999996</v>
      </c>
      <c r="B390" s="152" t="s">
        <v>646</v>
      </c>
    </row>
    <row r="391" spans="1:2">
      <c r="A391" s="152">
        <v>61.677</v>
      </c>
      <c r="B391" s="152" t="s">
        <v>647</v>
      </c>
    </row>
    <row r="392" spans="1:2">
      <c r="A392" s="152">
        <v>29.225000000000001</v>
      </c>
      <c r="B392" s="152" t="s">
        <v>646</v>
      </c>
    </row>
    <row r="393" spans="1:2">
      <c r="A393" s="152">
        <v>53.48</v>
      </c>
      <c r="B393" s="152" t="s">
        <v>647</v>
      </c>
    </row>
    <row r="394" spans="1:2">
      <c r="A394" s="152">
        <v>36.409999999999997</v>
      </c>
      <c r="B394" s="152" t="s">
        <v>646</v>
      </c>
    </row>
    <row r="395" spans="1:2">
      <c r="A395" s="152">
        <v>33.863</v>
      </c>
      <c r="B395" s="152" t="s">
        <v>646</v>
      </c>
    </row>
    <row r="396" spans="1:2">
      <c r="A396" s="152">
        <v>93.712999999999994</v>
      </c>
      <c r="B396" s="152" t="s">
        <v>644</v>
      </c>
    </row>
    <row r="397" spans="1:2">
      <c r="A397" s="152">
        <v>47.353000000000002</v>
      </c>
      <c r="B397" s="152" t="s">
        <v>647</v>
      </c>
    </row>
    <row r="398" spans="1:2">
      <c r="A398" s="152">
        <v>19.672999999999998</v>
      </c>
      <c r="B398" s="152" t="s">
        <v>645</v>
      </c>
    </row>
    <row r="399" spans="1:2">
      <c r="A399" s="152">
        <v>123.724</v>
      </c>
      <c r="B399" s="152" t="s">
        <v>644</v>
      </c>
    </row>
    <row r="400" spans="1:2">
      <c r="A400" s="152">
        <v>12.815</v>
      </c>
      <c r="B400" s="152" t="s">
        <v>645</v>
      </c>
    </row>
    <row r="401" spans="1:2">
      <c r="A401" s="152">
        <v>22.757000000000001</v>
      </c>
      <c r="B401" s="152" t="s">
        <v>646</v>
      </c>
    </row>
  </sheetData>
  <sortState xmlns:xlrd2="http://schemas.microsoft.com/office/spreadsheetml/2017/richdata2" ref="A2:A401">
    <sortCondition ref="A1:A401"/>
  </sortState>
  <mergeCells count="24">
    <mergeCell ref="D1:F1"/>
    <mergeCell ref="D66:E66"/>
    <mergeCell ref="D11:E11"/>
    <mergeCell ref="D17:E17"/>
    <mergeCell ref="D25:G25"/>
    <mergeCell ref="D26:G26"/>
    <mergeCell ref="D27:G27"/>
    <mergeCell ref="D28:G28"/>
    <mergeCell ref="D32:G32"/>
    <mergeCell ref="D34:G34"/>
    <mergeCell ref="D35:F35"/>
    <mergeCell ref="D36:F36"/>
    <mergeCell ref="D37:F37"/>
    <mergeCell ref="D38:G38"/>
    <mergeCell ref="D39:F39"/>
    <mergeCell ref="D40:F40"/>
    <mergeCell ref="D47:G47"/>
    <mergeCell ref="D48:G48"/>
    <mergeCell ref="D41:F41"/>
    <mergeCell ref="D42:G42"/>
    <mergeCell ref="D43:F43"/>
    <mergeCell ref="D44:F44"/>
    <mergeCell ref="D45:F45"/>
    <mergeCell ref="D46:G46"/>
  </mergeCells>
  <conditionalFormatting sqref="G37">
    <cfRule type="cellIs" dxfId="3" priority="2" stopIfTrue="1" operator="notEqual">
      <formula>""</formula>
    </cfRule>
  </conditionalFormatting>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CF2EC-8854-4A49-9870-F4AFC553C5B7}">
  <dimension ref="A1:G401"/>
  <sheetViews>
    <sheetView workbookViewId="0">
      <selection activeCell="F46" sqref="F46"/>
    </sheetView>
  </sheetViews>
  <sheetFormatPr baseColWidth="10" defaultRowHeight="15"/>
  <cols>
    <col min="1" max="1" width="27" customWidth="1"/>
    <col min="3" max="3" width="41.1640625" customWidth="1"/>
    <col min="4" max="4" width="40.6640625" customWidth="1"/>
    <col min="5" max="5" width="47" customWidth="1"/>
    <col min="6" max="6" width="52.33203125" customWidth="1"/>
    <col min="7" max="7" width="38.33203125" bestFit="1" customWidth="1"/>
    <col min="8" max="8" width="10.6640625" bestFit="1" customWidth="1"/>
    <col min="9" max="9" width="10" bestFit="1" customWidth="1"/>
    <col min="10" max="10" width="46.33203125" customWidth="1"/>
    <col min="11" max="11" width="26.33203125" customWidth="1"/>
    <col min="12" max="12" width="24.1640625" customWidth="1"/>
    <col min="13" max="13" width="22.5" customWidth="1"/>
    <col min="14" max="14" width="27" customWidth="1"/>
    <col min="15" max="15" width="16.6640625" customWidth="1"/>
    <col min="16" max="16" width="20.5" customWidth="1"/>
    <col min="17" max="17" width="18" customWidth="1"/>
  </cols>
  <sheetData>
    <row r="1" spans="1:6" ht="21">
      <c r="A1" s="2" t="s">
        <v>10</v>
      </c>
      <c r="C1" s="275" t="s">
        <v>698</v>
      </c>
      <c r="D1" s="275"/>
      <c r="E1" s="275"/>
      <c r="F1" s="275"/>
    </row>
    <row r="2" spans="1:6">
      <c r="A2" t="s">
        <v>443</v>
      </c>
    </row>
    <row r="3" spans="1:6">
      <c r="A3" t="s">
        <v>444</v>
      </c>
    </row>
    <row r="4" spans="1:6">
      <c r="A4" t="s">
        <v>444</v>
      </c>
    </row>
    <row r="5" spans="1:6">
      <c r="A5" t="s">
        <v>444</v>
      </c>
      <c r="C5" s="92" t="s">
        <v>468</v>
      </c>
      <c r="D5" s="92"/>
    </row>
    <row r="6" spans="1:6" ht="16" thickBot="1">
      <c r="A6" t="s">
        <v>444</v>
      </c>
      <c r="C6" s="5"/>
      <c r="D6" s="5"/>
    </row>
    <row r="7" spans="1:6">
      <c r="A7" t="s">
        <v>444</v>
      </c>
      <c r="C7" s="95" t="s">
        <v>470</v>
      </c>
      <c r="D7" s="96"/>
    </row>
    <row r="8" spans="1:6">
      <c r="A8" t="s">
        <v>444</v>
      </c>
      <c r="C8" s="9"/>
      <c r="D8" s="10"/>
    </row>
    <row r="9" spans="1:6">
      <c r="A9" t="s">
        <v>444</v>
      </c>
      <c r="C9" s="97" t="s">
        <v>471</v>
      </c>
      <c r="D9" s="98"/>
    </row>
    <row r="10" spans="1:6">
      <c r="A10" t="s">
        <v>444</v>
      </c>
      <c r="C10" s="13" t="s">
        <v>474</v>
      </c>
      <c r="D10" s="281">
        <f>COUNTA(A2:A401)</f>
        <v>400</v>
      </c>
    </row>
    <row r="11" spans="1:6">
      <c r="A11" t="s">
        <v>444</v>
      </c>
      <c r="C11" s="13" t="s">
        <v>477</v>
      </c>
      <c r="D11" s="281">
        <v>129</v>
      </c>
    </row>
    <row r="12" spans="1:6">
      <c r="A12" t="s">
        <v>444</v>
      </c>
      <c r="C12" s="13" t="s">
        <v>478</v>
      </c>
      <c r="D12" s="282">
        <v>0.95</v>
      </c>
    </row>
    <row r="13" spans="1:6">
      <c r="A13" t="s">
        <v>443</v>
      </c>
      <c r="C13" s="18"/>
      <c r="D13" s="283"/>
    </row>
    <row r="14" spans="1:6">
      <c r="A14" t="s">
        <v>444</v>
      </c>
      <c r="C14" s="18"/>
      <c r="D14" s="10"/>
    </row>
    <row r="15" spans="1:6">
      <c r="A15" t="s">
        <v>445</v>
      </c>
      <c r="C15" s="23" t="s">
        <v>480</v>
      </c>
      <c r="D15" s="24"/>
    </row>
    <row r="16" spans="1:6">
      <c r="A16" t="s">
        <v>445</v>
      </c>
      <c r="C16" s="13" t="s">
        <v>482</v>
      </c>
      <c r="D16" s="297">
        <f>D11/D10</f>
        <v>0.32250000000000001</v>
      </c>
    </row>
    <row r="17" spans="1:6">
      <c r="A17" t="s">
        <v>444</v>
      </c>
      <c r="C17" s="13" t="s">
        <v>483</v>
      </c>
      <c r="D17" s="284">
        <f>_xlfn.NORM.S.INV(1-(1-0.95)/2)</f>
        <v>1.9599639845400536</v>
      </c>
    </row>
    <row r="18" spans="1:6">
      <c r="A18" t="s">
        <v>445</v>
      </c>
      <c r="C18" s="13" t="s">
        <v>487</v>
      </c>
      <c r="D18" s="284">
        <f>SQRT(D16*(1-D16)/D10)</f>
        <v>2.3371657515033034E-2</v>
      </c>
    </row>
    <row r="19" spans="1:6">
      <c r="A19" t="s">
        <v>443</v>
      </c>
      <c r="C19" s="13" t="s">
        <v>489</v>
      </c>
      <c r="D19" s="284">
        <f>D18*D17</f>
        <v>4.5807606988469633E-2</v>
      </c>
    </row>
    <row r="20" spans="1:6">
      <c r="A20" t="s">
        <v>444</v>
      </c>
      <c r="C20" s="18"/>
      <c r="D20" s="10"/>
    </row>
    <row r="21" spans="1:6">
      <c r="A21" t="s">
        <v>444</v>
      </c>
      <c r="C21" s="23" t="s">
        <v>490</v>
      </c>
      <c r="D21" s="24"/>
    </row>
    <row r="22" spans="1:6">
      <c r="A22" t="s">
        <v>443</v>
      </c>
      <c r="C22" s="13" t="s">
        <v>493</v>
      </c>
      <c r="D22" s="286">
        <f>D16-D19</f>
        <v>0.27669239301153037</v>
      </c>
    </row>
    <row r="23" spans="1:6" ht="16" thickBot="1">
      <c r="A23" t="s">
        <v>443</v>
      </c>
      <c r="C23" s="32" t="s">
        <v>494</v>
      </c>
      <c r="D23" s="287">
        <f>D16+D19</f>
        <v>0.36830760698846965</v>
      </c>
    </row>
    <row r="24" spans="1:6">
      <c r="A24" t="s">
        <v>444</v>
      </c>
    </row>
    <row r="25" spans="1:6">
      <c r="A25" t="s">
        <v>443</v>
      </c>
    </row>
    <row r="26" spans="1:6">
      <c r="A26" t="s">
        <v>443</v>
      </c>
    </row>
    <row r="27" spans="1:6" ht="16" thickBot="1">
      <c r="A27" t="s">
        <v>444</v>
      </c>
      <c r="C27" s="135" t="s">
        <v>523</v>
      </c>
      <c r="D27" s="135"/>
      <c r="E27" s="135"/>
      <c r="F27" s="135"/>
    </row>
    <row r="28" spans="1:6">
      <c r="A28" t="s">
        <v>444</v>
      </c>
      <c r="C28" s="139" t="s">
        <v>520</v>
      </c>
      <c r="D28" s="140"/>
      <c r="E28" s="140"/>
      <c r="F28" s="141"/>
    </row>
    <row r="29" spans="1:6">
      <c r="A29" t="s">
        <v>445</v>
      </c>
      <c r="C29" s="132"/>
      <c r="D29" s="133"/>
      <c r="E29" s="133"/>
      <c r="F29" s="134"/>
    </row>
    <row r="30" spans="1:6">
      <c r="A30" t="s">
        <v>445</v>
      </c>
      <c r="C30" s="97" t="s">
        <v>519</v>
      </c>
      <c r="D30" s="114"/>
      <c r="E30" s="114"/>
      <c r="F30" s="98"/>
    </row>
    <row r="31" spans="1:6">
      <c r="A31" t="s">
        <v>445</v>
      </c>
      <c r="C31" s="18" t="s">
        <v>518</v>
      </c>
      <c r="D31" s="64" t="s">
        <v>515</v>
      </c>
      <c r="E31" s="64"/>
      <c r="F31" s="70">
        <v>0.3</v>
      </c>
    </row>
    <row r="32" spans="1:6">
      <c r="A32" t="s">
        <v>443</v>
      </c>
      <c r="C32" s="18" t="s">
        <v>516</v>
      </c>
      <c r="D32" s="64" t="s">
        <v>515</v>
      </c>
      <c r="E32" s="63" t="s">
        <v>596</v>
      </c>
      <c r="F32" s="16">
        <v>0.3</v>
      </c>
    </row>
    <row r="33" spans="1:6">
      <c r="A33" t="s">
        <v>444</v>
      </c>
      <c r="C33" s="58" t="s">
        <v>514</v>
      </c>
      <c r="D33" s="57"/>
      <c r="E33" s="57"/>
      <c r="F33" s="56" t="str">
        <f>IF(E32="&lt;","Lower",IF(E32="&gt;","Upper","Two"))</f>
        <v>Lower</v>
      </c>
    </row>
    <row r="34" spans="1:6">
      <c r="A34" t="s">
        <v>444</v>
      </c>
      <c r="C34" s="97" t="s">
        <v>513</v>
      </c>
      <c r="D34" s="114"/>
      <c r="E34" s="114"/>
      <c r="F34" s="98"/>
    </row>
    <row r="35" spans="1:6">
      <c r="A35" t="s">
        <v>445</v>
      </c>
      <c r="C35" s="51"/>
      <c r="D35" s="5"/>
      <c r="E35" s="50" t="s">
        <v>512</v>
      </c>
      <c r="F35" s="49">
        <v>0.05</v>
      </c>
    </row>
    <row r="36" spans="1:6">
      <c r="A36" t="s">
        <v>444</v>
      </c>
      <c r="C36" s="97" t="s">
        <v>511</v>
      </c>
      <c r="D36" s="114"/>
      <c r="E36" s="114"/>
      <c r="F36" s="98"/>
    </row>
    <row r="37" spans="1:6">
      <c r="A37" t="s">
        <v>445</v>
      </c>
      <c r="C37" s="99" t="str">
        <f>IF(E31="=","Lower Critical Value","Critical Value")</f>
        <v>Critical Value</v>
      </c>
      <c r="D37" s="100"/>
      <c r="E37" s="101"/>
      <c r="F37" s="47">
        <f>_xlfn.NORM.S.INV(0.05)</f>
        <v>-1.6448536269514726</v>
      </c>
    </row>
    <row r="38" spans="1:6">
      <c r="A38" t="s">
        <v>444</v>
      </c>
      <c r="C38" s="124" t="str">
        <f>IF(E31="=","Upper Critical Value","")</f>
        <v/>
      </c>
      <c r="D38" s="100"/>
      <c r="E38" s="101"/>
      <c r="F38" s="41"/>
    </row>
    <row r="39" spans="1:6">
      <c r="A39" t="s">
        <v>445</v>
      </c>
      <c r="C39" s="97" t="s">
        <v>506</v>
      </c>
      <c r="D39" s="114"/>
      <c r="E39" s="114"/>
      <c r="F39" s="98"/>
    </row>
    <row r="40" spans="1:6">
      <c r="A40" t="s">
        <v>444</v>
      </c>
      <c r="C40" s="99" t="s">
        <v>503</v>
      </c>
      <c r="D40" s="100"/>
      <c r="E40" s="101"/>
      <c r="F40" s="15">
        <f>COUNTA(A2:A401)</f>
        <v>400</v>
      </c>
    </row>
    <row r="41" spans="1:6">
      <c r="A41" t="s">
        <v>443</v>
      </c>
      <c r="C41" s="99" t="s">
        <v>505</v>
      </c>
      <c r="D41" s="100"/>
      <c r="E41" s="101"/>
      <c r="F41" s="15">
        <v>129</v>
      </c>
    </row>
    <row r="42" spans="1:6">
      <c r="A42" t="s">
        <v>443</v>
      </c>
      <c r="C42" s="108"/>
      <c r="D42" s="109"/>
      <c r="E42" s="109"/>
      <c r="F42" s="110"/>
    </row>
    <row r="43" spans="1:6">
      <c r="A43" t="s">
        <v>443</v>
      </c>
      <c r="C43" s="99" t="s">
        <v>502</v>
      </c>
      <c r="D43" s="100"/>
      <c r="E43" s="101"/>
      <c r="F43" s="42">
        <f>F41/F40</f>
        <v>0.32250000000000001</v>
      </c>
    </row>
    <row r="44" spans="1:6">
      <c r="A44" t="s">
        <v>445</v>
      </c>
      <c r="C44" s="99" t="s">
        <v>501</v>
      </c>
      <c r="D44" s="100"/>
      <c r="E44" s="101"/>
      <c r="F44" s="158">
        <f>SQRT(F31*(1-F32)/F40)</f>
        <v>2.29128784747792E-2</v>
      </c>
    </row>
    <row r="45" spans="1:6">
      <c r="A45" t="s">
        <v>443</v>
      </c>
      <c r="C45" s="118" t="s">
        <v>499</v>
      </c>
      <c r="D45" s="119"/>
      <c r="E45" s="120"/>
      <c r="F45" s="196">
        <f>(0.3225-0.3)/0.0229</f>
        <v>0.9825327510917039</v>
      </c>
    </row>
    <row r="46" spans="1:6">
      <c r="A46" t="s">
        <v>444</v>
      </c>
      <c r="C46" s="99" t="s">
        <v>496</v>
      </c>
      <c r="D46" s="100"/>
      <c r="E46" s="101"/>
      <c r="F46" s="37">
        <f>_xlfn.NORM.S.DIST(F45,TRUE)</f>
        <v>0.83708127186554182</v>
      </c>
    </row>
    <row r="47" spans="1:6">
      <c r="A47" t="s">
        <v>444</v>
      </c>
      <c r="C47" s="108"/>
      <c r="D47" s="109"/>
      <c r="E47" s="109"/>
      <c r="F47" s="110"/>
    </row>
    <row r="48" spans="1:6">
      <c r="A48" t="s">
        <v>445</v>
      </c>
      <c r="C48" s="97" t="s">
        <v>495</v>
      </c>
      <c r="D48" s="114"/>
      <c r="E48" s="114"/>
      <c r="F48" s="98"/>
    </row>
    <row r="49" spans="1:7" ht="16" thickBot="1">
      <c r="A49" t="s">
        <v>444</v>
      </c>
      <c r="C49" s="102" t="str">
        <f>IF(F46&lt;F35,"Reject Null Hypothesis", "Fail to reject Null Hypothesis")</f>
        <v>Fail to reject Null Hypothesis</v>
      </c>
      <c r="D49" s="103"/>
      <c r="E49" s="103"/>
      <c r="F49" s="104"/>
    </row>
    <row r="50" spans="1:7">
      <c r="A50" t="s">
        <v>444</v>
      </c>
    </row>
    <row r="51" spans="1:7">
      <c r="A51" t="s">
        <v>444</v>
      </c>
    </row>
    <row r="52" spans="1:7">
      <c r="A52" t="s">
        <v>443</v>
      </c>
    </row>
    <row r="53" spans="1:7">
      <c r="A53" t="s">
        <v>443</v>
      </c>
    </row>
    <row r="54" spans="1:7">
      <c r="A54" t="s">
        <v>443</v>
      </c>
    </row>
    <row r="55" spans="1:7">
      <c r="A55" t="s">
        <v>445</v>
      </c>
    </row>
    <row r="56" spans="1:7">
      <c r="A56" t="s">
        <v>444</v>
      </c>
      <c r="D56" s="162" t="s">
        <v>694</v>
      </c>
      <c r="E56" s="162"/>
      <c r="F56" s="162"/>
    </row>
    <row r="57" spans="1:7">
      <c r="A57" t="s">
        <v>444</v>
      </c>
      <c r="D57" s="159" t="s">
        <v>695</v>
      </c>
      <c r="E57" t="s">
        <v>693</v>
      </c>
      <c r="F57" t="s">
        <v>696</v>
      </c>
      <c r="G57" t="s">
        <v>697</v>
      </c>
    </row>
    <row r="58" spans="1:7">
      <c r="A58" t="s">
        <v>443</v>
      </c>
      <c r="D58" s="160" t="s">
        <v>443</v>
      </c>
      <c r="E58" s="146">
        <v>129</v>
      </c>
      <c r="F58" s="158">
        <f>129/400</f>
        <v>0.32250000000000001</v>
      </c>
      <c r="G58" s="274">
        <f>0.3*129</f>
        <v>38.699999999999996</v>
      </c>
    </row>
    <row r="59" spans="1:7">
      <c r="A59" t="s">
        <v>444</v>
      </c>
      <c r="D59" s="160" t="s">
        <v>445</v>
      </c>
      <c r="E59" s="146">
        <v>69</v>
      </c>
      <c r="F59" s="158">
        <f>69/400</f>
        <v>0.17249999999999999</v>
      </c>
      <c r="G59" s="274">
        <v>0</v>
      </c>
    </row>
    <row r="60" spans="1:7">
      <c r="A60" t="s">
        <v>443</v>
      </c>
      <c r="D60" s="160" t="s">
        <v>444</v>
      </c>
      <c r="E60" s="146">
        <v>202</v>
      </c>
      <c r="F60" s="158">
        <f>202/400</f>
        <v>0.505</v>
      </c>
      <c r="G60" s="274">
        <v>0</v>
      </c>
    </row>
    <row r="61" spans="1:7">
      <c r="A61" t="s">
        <v>444</v>
      </c>
      <c r="D61" s="160" t="s">
        <v>564</v>
      </c>
      <c r="E61" s="146">
        <v>400</v>
      </c>
      <c r="F61" s="201">
        <f>SUM(F58:F60)</f>
        <v>1</v>
      </c>
      <c r="G61" s="158"/>
    </row>
    <row r="62" spans="1:7">
      <c r="A62" t="s">
        <v>445</v>
      </c>
    </row>
    <row r="63" spans="1:7">
      <c r="A63" t="s">
        <v>443</v>
      </c>
    </row>
    <row r="64" spans="1:7">
      <c r="A64" t="s">
        <v>444</v>
      </c>
    </row>
    <row r="65" spans="1:1">
      <c r="A65" t="s">
        <v>444</v>
      </c>
    </row>
    <row r="66" spans="1:1">
      <c r="A66" t="s">
        <v>444</v>
      </c>
    </row>
    <row r="67" spans="1:1">
      <c r="A67" t="s">
        <v>443</v>
      </c>
    </row>
    <row r="68" spans="1:1">
      <c r="A68" t="s">
        <v>443</v>
      </c>
    </row>
    <row r="69" spans="1:1">
      <c r="A69" t="s">
        <v>443</v>
      </c>
    </row>
    <row r="70" spans="1:1">
      <c r="A70" t="s">
        <v>445</v>
      </c>
    </row>
    <row r="71" spans="1:1">
      <c r="A71" t="s">
        <v>444</v>
      </c>
    </row>
    <row r="72" spans="1:1">
      <c r="A72" t="s">
        <v>443</v>
      </c>
    </row>
    <row r="73" spans="1:1">
      <c r="A73" t="s">
        <v>443</v>
      </c>
    </row>
    <row r="74" spans="1:1">
      <c r="A74" t="s">
        <v>445</v>
      </c>
    </row>
    <row r="75" spans="1:1">
      <c r="A75" t="s">
        <v>444</v>
      </c>
    </row>
    <row r="76" spans="1:1">
      <c r="A76" t="s">
        <v>443</v>
      </c>
    </row>
    <row r="77" spans="1:1">
      <c r="A77" t="s">
        <v>444</v>
      </c>
    </row>
    <row r="78" spans="1:1">
      <c r="A78" t="s">
        <v>443</v>
      </c>
    </row>
    <row r="79" spans="1:1">
      <c r="A79" t="s">
        <v>443</v>
      </c>
    </row>
    <row r="80" spans="1:1">
      <c r="A80" t="s">
        <v>445</v>
      </c>
    </row>
    <row r="81" spans="1:1">
      <c r="A81" t="s">
        <v>444</v>
      </c>
    </row>
    <row r="82" spans="1:1">
      <c r="A82" t="s">
        <v>444</v>
      </c>
    </row>
    <row r="83" spans="1:1">
      <c r="A83" t="s">
        <v>443</v>
      </c>
    </row>
    <row r="84" spans="1:1">
      <c r="A84" t="s">
        <v>444</v>
      </c>
    </row>
    <row r="85" spans="1:1">
      <c r="A85" t="s">
        <v>444</v>
      </c>
    </row>
    <row r="86" spans="1:1">
      <c r="A86" t="s">
        <v>444</v>
      </c>
    </row>
    <row r="87" spans="1:1">
      <c r="A87" t="s">
        <v>444</v>
      </c>
    </row>
    <row r="88" spans="1:1">
      <c r="A88" t="s">
        <v>444</v>
      </c>
    </row>
    <row r="89" spans="1:1">
      <c r="A89" t="s">
        <v>443</v>
      </c>
    </row>
    <row r="90" spans="1:1">
      <c r="A90" t="s">
        <v>444</v>
      </c>
    </row>
    <row r="91" spans="1:1">
      <c r="A91" t="s">
        <v>444</v>
      </c>
    </row>
    <row r="92" spans="1:1">
      <c r="A92" t="s">
        <v>443</v>
      </c>
    </row>
    <row r="93" spans="1:1">
      <c r="A93" t="s">
        <v>445</v>
      </c>
    </row>
    <row r="94" spans="1:1">
      <c r="A94" t="s">
        <v>444</v>
      </c>
    </row>
    <row r="95" spans="1:1">
      <c r="A95" t="s">
        <v>445</v>
      </c>
    </row>
    <row r="96" spans="1:1">
      <c r="A96" t="s">
        <v>443</v>
      </c>
    </row>
    <row r="97" spans="1:1">
      <c r="A97" t="s">
        <v>445</v>
      </c>
    </row>
    <row r="98" spans="1:1">
      <c r="A98" t="s">
        <v>445</v>
      </c>
    </row>
    <row r="99" spans="1:1">
      <c r="A99" t="s">
        <v>443</v>
      </c>
    </row>
    <row r="100" spans="1:1">
      <c r="A100" t="s">
        <v>444</v>
      </c>
    </row>
    <row r="101" spans="1:1">
      <c r="A101" t="s">
        <v>445</v>
      </c>
    </row>
    <row r="102" spans="1:1">
      <c r="A102" t="s">
        <v>443</v>
      </c>
    </row>
    <row r="103" spans="1:1">
      <c r="A103" t="s">
        <v>443</v>
      </c>
    </row>
    <row r="104" spans="1:1">
      <c r="A104" t="s">
        <v>444</v>
      </c>
    </row>
    <row r="105" spans="1:1">
      <c r="A105" t="s">
        <v>443</v>
      </c>
    </row>
    <row r="106" spans="1:1">
      <c r="A106" t="s">
        <v>445</v>
      </c>
    </row>
    <row r="107" spans="1:1">
      <c r="A107" t="s">
        <v>445</v>
      </c>
    </row>
    <row r="108" spans="1:1">
      <c r="A108" t="s">
        <v>443</v>
      </c>
    </row>
    <row r="109" spans="1:1">
      <c r="A109" t="s">
        <v>444</v>
      </c>
    </row>
    <row r="110" spans="1:1">
      <c r="A110" t="s">
        <v>443</v>
      </c>
    </row>
    <row r="111" spans="1:1">
      <c r="A111" t="s">
        <v>444</v>
      </c>
    </row>
    <row r="112" spans="1:1">
      <c r="A112" t="s">
        <v>445</v>
      </c>
    </row>
    <row r="113" spans="1:1">
      <c r="A113" t="s">
        <v>443</v>
      </c>
    </row>
    <row r="114" spans="1:1">
      <c r="A114" t="s">
        <v>445</v>
      </c>
    </row>
    <row r="115" spans="1:1">
      <c r="A115" t="s">
        <v>443</v>
      </c>
    </row>
    <row r="116" spans="1:1">
      <c r="A116" t="s">
        <v>444</v>
      </c>
    </row>
    <row r="117" spans="1:1">
      <c r="A117" t="s">
        <v>444</v>
      </c>
    </row>
    <row r="118" spans="1:1">
      <c r="A118" t="s">
        <v>444</v>
      </c>
    </row>
    <row r="119" spans="1:1">
      <c r="A119" t="s">
        <v>444</v>
      </c>
    </row>
    <row r="120" spans="1:1">
      <c r="A120" t="s">
        <v>445</v>
      </c>
    </row>
    <row r="121" spans="1:1">
      <c r="A121" t="s">
        <v>445</v>
      </c>
    </row>
    <row r="122" spans="1:1">
      <c r="A122" t="s">
        <v>444</v>
      </c>
    </row>
    <row r="123" spans="1:1">
      <c r="A123" t="s">
        <v>444</v>
      </c>
    </row>
    <row r="124" spans="1:1">
      <c r="A124" t="s">
        <v>444</v>
      </c>
    </row>
    <row r="125" spans="1:1">
      <c r="A125" t="s">
        <v>444</v>
      </c>
    </row>
    <row r="126" spans="1:1">
      <c r="A126" t="s">
        <v>444</v>
      </c>
    </row>
    <row r="127" spans="1:1">
      <c r="A127" t="s">
        <v>444</v>
      </c>
    </row>
    <row r="128" spans="1:1">
      <c r="A128" t="s">
        <v>444</v>
      </c>
    </row>
    <row r="129" spans="1:1">
      <c r="A129" t="s">
        <v>445</v>
      </c>
    </row>
    <row r="130" spans="1:1">
      <c r="A130" t="s">
        <v>443</v>
      </c>
    </row>
    <row r="131" spans="1:1">
      <c r="A131" t="s">
        <v>445</v>
      </c>
    </row>
    <row r="132" spans="1:1">
      <c r="A132" t="s">
        <v>444</v>
      </c>
    </row>
    <row r="133" spans="1:1">
      <c r="A133" t="s">
        <v>444</v>
      </c>
    </row>
    <row r="134" spans="1:1">
      <c r="A134" t="s">
        <v>444</v>
      </c>
    </row>
    <row r="135" spans="1:1">
      <c r="A135" t="s">
        <v>443</v>
      </c>
    </row>
    <row r="136" spans="1:1">
      <c r="A136" t="s">
        <v>445</v>
      </c>
    </row>
    <row r="137" spans="1:1">
      <c r="A137" t="s">
        <v>444</v>
      </c>
    </row>
    <row r="138" spans="1:1">
      <c r="A138" t="s">
        <v>444</v>
      </c>
    </row>
    <row r="139" spans="1:1">
      <c r="A139" t="s">
        <v>444</v>
      </c>
    </row>
    <row r="140" spans="1:1">
      <c r="A140" t="s">
        <v>444</v>
      </c>
    </row>
    <row r="141" spans="1:1">
      <c r="A141" t="s">
        <v>444</v>
      </c>
    </row>
    <row r="142" spans="1:1">
      <c r="A142" t="s">
        <v>443</v>
      </c>
    </row>
    <row r="143" spans="1:1">
      <c r="A143" t="s">
        <v>444</v>
      </c>
    </row>
    <row r="144" spans="1:1">
      <c r="A144" t="s">
        <v>445</v>
      </c>
    </row>
    <row r="145" spans="1:1">
      <c r="A145" t="s">
        <v>443</v>
      </c>
    </row>
    <row r="146" spans="1:1">
      <c r="A146" t="s">
        <v>444</v>
      </c>
    </row>
    <row r="147" spans="1:1">
      <c r="A147" t="s">
        <v>444</v>
      </c>
    </row>
    <row r="148" spans="1:1">
      <c r="A148" t="s">
        <v>445</v>
      </c>
    </row>
    <row r="149" spans="1:1">
      <c r="A149" t="s">
        <v>444</v>
      </c>
    </row>
    <row r="150" spans="1:1">
      <c r="A150" t="s">
        <v>444</v>
      </c>
    </row>
    <row r="151" spans="1:1">
      <c r="A151" t="s">
        <v>444</v>
      </c>
    </row>
    <row r="152" spans="1:1">
      <c r="A152" t="s">
        <v>444</v>
      </c>
    </row>
    <row r="153" spans="1:1">
      <c r="A153" t="s">
        <v>443</v>
      </c>
    </row>
    <row r="154" spans="1:1">
      <c r="A154" t="s">
        <v>443</v>
      </c>
    </row>
    <row r="155" spans="1:1">
      <c r="A155" t="s">
        <v>444</v>
      </c>
    </row>
    <row r="156" spans="1:1">
      <c r="A156" t="s">
        <v>444</v>
      </c>
    </row>
    <row r="157" spans="1:1">
      <c r="A157" t="s">
        <v>443</v>
      </c>
    </row>
    <row r="158" spans="1:1">
      <c r="A158" t="s">
        <v>443</v>
      </c>
    </row>
    <row r="159" spans="1:1">
      <c r="A159" t="s">
        <v>444</v>
      </c>
    </row>
    <row r="160" spans="1:1">
      <c r="A160" t="s">
        <v>445</v>
      </c>
    </row>
    <row r="161" spans="1:1">
      <c r="A161" t="s">
        <v>443</v>
      </c>
    </row>
    <row r="162" spans="1:1">
      <c r="A162" t="s">
        <v>444</v>
      </c>
    </row>
    <row r="163" spans="1:1">
      <c r="A163" t="s">
        <v>445</v>
      </c>
    </row>
    <row r="164" spans="1:1">
      <c r="A164" t="s">
        <v>445</v>
      </c>
    </row>
    <row r="165" spans="1:1">
      <c r="A165" t="s">
        <v>443</v>
      </c>
    </row>
    <row r="166" spans="1:1">
      <c r="A166" t="s">
        <v>443</v>
      </c>
    </row>
    <row r="167" spans="1:1">
      <c r="A167" t="s">
        <v>444</v>
      </c>
    </row>
    <row r="168" spans="1:1">
      <c r="A168" t="s">
        <v>444</v>
      </c>
    </row>
    <row r="169" spans="1:1">
      <c r="A169" t="s">
        <v>443</v>
      </c>
    </row>
    <row r="170" spans="1:1">
      <c r="A170" t="s">
        <v>444</v>
      </c>
    </row>
    <row r="171" spans="1:1">
      <c r="A171" t="s">
        <v>443</v>
      </c>
    </row>
    <row r="172" spans="1:1">
      <c r="A172" t="s">
        <v>443</v>
      </c>
    </row>
    <row r="173" spans="1:1">
      <c r="A173" t="s">
        <v>444</v>
      </c>
    </row>
    <row r="174" spans="1:1">
      <c r="A174" t="s">
        <v>444</v>
      </c>
    </row>
    <row r="175" spans="1:1">
      <c r="A175" t="s">
        <v>445</v>
      </c>
    </row>
    <row r="176" spans="1:1">
      <c r="A176" t="s">
        <v>443</v>
      </c>
    </row>
    <row r="177" spans="1:1">
      <c r="A177" t="s">
        <v>443</v>
      </c>
    </row>
    <row r="178" spans="1:1">
      <c r="A178" t="s">
        <v>445</v>
      </c>
    </row>
    <row r="179" spans="1:1">
      <c r="A179" t="s">
        <v>444</v>
      </c>
    </row>
    <row r="180" spans="1:1">
      <c r="A180" t="s">
        <v>443</v>
      </c>
    </row>
    <row r="181" spans="1:1">
      <c r="A181" t="s">
        <v>445</v>
      </c>
    </row>
    <row r="182" spans="1:1">
      <c r="A182" t="s">
        <v>443</v>
      </c>
    </row>
    <row r="183" spans="1:1">
      <c r="A183" t="s">
        <v>445</v>
      </c>
    </row>
    <row r="184" spans="1:1">
      <c r="A184" t="s">
        <v>444</v>
      </c>
    </row>
    <row r="185" spans="1:1">
      <c r="A185" t="s">
        <v>444</v>
      </c>
    </row>
    <row r="186" spans="1:1">
      <c r="A186" t="s">
        <v>444</v>
      </c>
    </row>
    <row r="187" spans="1:1">
      <c r="A187" t="s">
        <v>443</v>
      </c>
    </row>
    <row r="188" spans="1:1">
      <c r="A188" t="s">
        <v>445</v>
      </c>
    </row>
    <row r="189" spans="1:1">
      <c r="A189" t="s">
        <v>444</v>
      </c>
    </row>
    <row r="190" spans="1:1">
      <c r="A190" t="s">
        <v>443</v>
      </c>
    </row>
    <row r="191" spans="1:1">
      <c r="A191" t="s">
        <v>443</v>
      </c>
    </row>
    <row r="192" spans="1:1">
      <c r="A192" t="s">
        <v>444</v>
      </c>
    </row>
    <row r="193" spans="1:1">
      <c r="A193" t="s">
        <v>444</v>
      </c>
    </row>
    <row r="194" spans="1:1">
      <c r="A194" t="s">
        <v>444</v>
      </c>
    </row>
    <row r="195" spans="1:1">
      <c r="A195" t="s">
        <v>445</v>
      </c>
    </row>
    <row r="196" spans="1:1">
      <c r="A196" t="s">
        <v>443</v>
      </c>
    </row>
    <row r="197" spans="1:1">
      <c r="A197" t="s">
        <v>444</v>
      </c>
    </row>
    <row r="198" spans="1:1">
      <c r="A198" t="s">
        <v>444</v>
      </c>
    </row>
    <row r="199" spans="1:1">
      <c r="A199" t="s">
        <v>444</v>
      </c>
    </row>
    <row r="200" spans="1:1">
      <c r="A200" t="s">
        <v>443</v>
      </c>
    </row>
    <row r="201" spans="1:1">
      <c r="A201" t="s">
        <v>443</v>
      </c>
    </row>
    <row r="202" spans="1:1">
      <c r="A202" t="s">
        <v>443</v>
      </c>
    </row>
    <row r="203" spans="1:1">
      <c r="A203" t="s">
        <v>445</v>
      </c>
    </row>
    <row r="204" spans="1:1">
      <c r="A204" t="s">
        <v>443</v>
      </c>
    </row>
    <row r="205" spans="1:1">
      <c r="A205" t="s">
        <v>443</v>
      </c>
    </row>
    <row r="206" spans="1:1">
      <c r="A206" t="s">
        <v>443</v>
      </c>
    </row>
    <row r="207" spans="1:1">
      <c r="A207" t="s">
        <v>444</v>
      </c>
    </row>
    <row r="208" spans="1:1">
      <c r="A208" t="s">
        <v>443</v>
      </c>
    </row>
    <row r="209" spans="1:1">
      <c r="A209" t="s">
        <v>444</v>
      </c>
    </row>
    <row r="210" spans="1:1">
      <c r="A210" t="s">
        <v>444</v>
      </c>
    </row>
    <row r="211" spans="1:1">
      <c r="A211" t="s">
        <v>444</v>
      </c>
    </row>
    <row r="212" spans="1:1">
      <c r="A212" t="s">
        <v>444</v>
      </c>
    </row>
    <row r="213" spans="1:1">
      <c r="A213" t="s">
        <v>444</v>
      </c>
    </row>
    <row r="214" spans="1:1">
      <c r="A214" t="s">
        <v>444</v>
      </c>
    </row>
    <row r="215" spans="1:1">
      <c r="A215" t="s">
        <v>444</v>
      </c>
    </row>
    <row r="216" spans="1:1">
      <c r="A216" t="s">
        <v>444</v>
      </c>
    </row>
    <row r="217" spans="1:1">
      <c r="A217" t="s">
        <v>444</v>
      </c>
    </row>
    <row r="218" spans="1:1">
      <c r="A218" t="s">
        <v>444</v>
      </c>
    </row>
    <row r="219" spans="1:1">
      <c r="A219" t="s">
        <v>443</v>
      </c>
    </row>
    <row r="220" spans="1:1">
      <c r="A220" t="s">
        <v>444</v>
      </c>
    </row>
    <row r="221" spans="1:1">
      <c r="A221" t="s">
        <v>444</v>
      </c>
    </row>
    <row r="222" spans="1:1">
      <c r="A222" t="s">
        <v>444</v>
      </c>
    </row>
    <row r="223" spans="1:1">
      <c r="A223" t="s">
        <v>444</v>
      </c>
    </row>
    <row r="224" spans="1:1">
      <c r="A224" t="s">
        <v>445</v>
      </c>
    </row>
    <row r="225" spans="1:1">
      <c r="A225" t="s">
        <v>444</v>
      </c>
    </row>
    <row r="226" spans="1:1">
      <c r="A226" t="s">
        <v>445</v>
      </c>
    </row>
    <row r="227" spans="1:1">
      <c r="A227" t="s">
        <v>444</v>
      </c>
    </row>
    <row r="228" spans="1:1">
      <c r="A228" t="s">
        <v>444</v>
      </c>
    </row>
    <row r="229" spans="1:1">
      <c r="A229" t="s">
        <v>443</v>
      </c>
    </row>
    <row r="230" spans="1:1">
      <c r="A230" t="s">
        <v>443</v>
      </c>
    </row>
    <row r="231" spans="1:1">
      <c r="A231" t="s">
        <v>443</v>
      </c>
    </row>
    <row r="232" spans="1:1">
      <c r="A232" t="s">
        <v>444</v>
      </c>
    </row>
    <row r="233" spans="1:1">
      <c r="A233" t="s">
        <v>444</v>
      </c>
    </row>
    <row r="234" spans="1:1">
      <c r="A234" t="s">
        <v>444</v>
      </c>
    </row>
    <row r="235" spans="1:1">
      <c r="A235" t="s">
        <v>444</v>
      </c>
    </row>
    <row r="236" spans="1:1">
      <c r="A236" t="s">
        <v>443</v>
      </c>
    </row>
    <row r="237" spans="1:1">
      <c r="A237" t="s">
        <v>443</v>
      </c>
    </row>
    <row r="238" spans="1:1">
      <c r="A238" t="s">
        <v>444</v>
      </c>
    </row>
    <row r="239" spans="1:1">
      <c r="A239" t="s">
        <v>444</v>
      </c>
    </row>
    <row r="240" spans="1:1">
      <c r="A240" t="s">
        <v>444</v>
      </c>
    </row>
    <row r="241" spans="1:1">
      <c r="A241" t="s">
        <v>444</v>
      </c>
    </row>
    <row r="242" spans="1:1">
      <c r="A242" t="s">
        <v>443</v>
      </c>
    </row>
    <row r="243" spans="1:1">
      <c r="A243" t="s">
        <v>444</v>
      </c>
    </row>
    <row r="244" spans="1:1">
      <c r="A244" t="s">
        <v>444</v>
      </c>
    </row>
    <row r="245" spans="1:1">
      <c r="A245" t="s">
        <v>445</v>
      </c>
    </row>
    <row r="246" spans="1:1">
      <c r="A246" t="s">
        <v>444</v>
      </c>
    </row>
    <row r="247" spans="1:1">
      <c r="A247" t="s">
        <v>444</v>
      </c>
    </row>
    <row r="248" spans="1:1">
      <c r="A248" t="s">
        <v>444</v>
      </c>
    </row>
    <row r="249" spans="1:1">
      <c r="A249" t="s">
        <v>444</v>
      </c>
    </row>
    <row r="250" spans="1:1">
      <c r="A250" t="s">
        <v>444</v>
      </c>
    </row>
    <row r="251" spans="1:1">
      <c r="A251" t="s">
        <v>444</v>
      </c>
    </row>
    <row r="252" spans="1:1">
      <c r="A252" t="s">
        <v>443</v>
      </c>
    </row>
    <row r="253" spans="1:1">
      <c r="A253" t="s">
        <v>444</v>
      </c>
    </row>
    <row r="254" spans="1:1">
      <c r="A254" t="s">
        <v>444</v>
      </c>
    </row>
    <row r="255" spans="1:1">
      <c r="A255" t="s">
        <v>445</v>
      </c>
    </row>
    <row r="256" spans="1:1">
      <c r="A256" t="s">
        <v>444</v>
      </c>
    </row>
    <row r="257" spans="1:1">
      <c r="A257" t="s">
        <v>445</v>
      </c>
    </row>
    <row r="258" spans="1:1">
      <c r="A258" t="s">
        <v>444</v>
      </c>
    </row>
    <row r="259" spans="1:1">
      <c r="A259" t="s">
        <v>445</v>
      </c>
    </row>
    <row r="260" spans="1:1">
      <c r="A260" t="s">
        <v>444</v>
      </c>
    </row>
    <row r="261" spans="1:1">
      <c r="A261" t="s">
        <v>443</v>
      </c>
    </row>
    <row r="262" spans="1:1">
      <c r="A262" t="s">
        <v>444</v>
      </c>
    </row>
    <row r="263" spans="1:1">
      <c r="A263" t="s">
        <v>445</v>
      </c>
    </row>
    <row r="264" spans="1:1">
      <c r="A264" t="s">
        <v>444</v>
      </c>
    </row>
    <row r="265" spans="1:1">
      <c r="A265" t="s">
        <v>443</v>
      </c>
    </row>
    <row r="266" spans="1:1">
      <c r="A266" t="s">
        <v>443</v>
      </c>
    </row>
    <row r="267" spans="1:1">
      <c r="A267" t="s">
        <v>444</v>
      </c>
    </row>
    <row r="268" spans="1:1">
      <c r="A268" t="s">
        <v>444</v>
      </c>
    </row>
    <row r="269" spans="1:1">
      <c r="A269" t="s">
        <v>444</v>
      </c>
    </row>
    <row r="270" spans="1:1">
      <c r="A270" t="s">
        <v>444</v>
      </c>
    </row>
    <row r="271" spans="1:1">
      <c r="A271" t="s">
        <v>444</v>
      </c>
    </row>
    <row r="272" spans="1:1">
      <c r="A272" t="s">
        <v>444</v>
      </c>
    </row>
    <row r="273" spans="1:1">
      <c r="A273" t="s">
        <v>444</v>
      </c>
    </row>
    <row r="274" spans="1:1">
      <c r="A274" t="s">
        <v>444</v>
      </c>
    </row>
    <row r="275" spans="1:1">
      <c r="A275" t="s">
        <v>443</v>
      </c>
    </row>
    <row r="276" spans="1:1">
      <c r="A276" t="s">
        <v>443</v>
      </c>
    </row>
    <row r="277" spans="1:1">
      <c r="A277" t="s">
        <v>444</v>
      </c>
    </row>
    <row r="278" spans="1:1">
      <c r="A278" t="s">
        <v>444</v>
      </c>
    </row>
    <row r="279" spans="1:1">
      <c r="A279" t="s">
        <v>445</v>
      </c>
    </row>
    <row r="280" spans="1:1">
      <c r="A280" t="s">
        <v>444</v>
      </c>
    </row>
    <row r="281" spans="1:1">
      <c r="A281" t="s">
        <v>445</v>
      </c>
    </row>
    <row r="282" spans="1:1">
      <c r="A282" t="s">
        <v>444</v>
      </c>
    </row>
    <row r="283" spans="1:1">
      <c r="A283" t="s">
        <v>443</v>
      </c>
    </row>
    <row r="284" spans="1:1">
      <c r="A284" t="s">
        <v>443</v>
      </c>
    </row>
    <row r="285" spans="1:1">
      <c r="A285" t="s">
        <v>444</v>
      </c>
    </row>
    <row r="286" spans="1:1">
      <c r="A286" t="s">
        <v>443</v>
      </c>
    </row>
    <row r="287" spans="1:1">
      <c r="A287" t="s">
        <v>445</v>
      </c>
    </row>
    <row r="288" spans="1:1">
      <c r="A288" t="s">
        <v>443</v>
      </c>
    </row>
    <row r="289" spans="1:1">
      <c r="A289" t="s">
        <v>443</v>
      </c>
    </row>
    <row r="290" spans="1:1">
      <c r="A290" t="s">
        <v>444</v>
      </c>
    </row>
    <row r="291" spans="1:1">
      <c r="A291" t="s">
        <v>443</v>
      </c>
    </row>
    <row r="292" spans="1:1">
      <c r="A292" t="s">
        <v>445</v>
      </c>
    </row>
    <row r="293" spans="1:1">
      <c r="A293" t="s">
        <v>443</v>
      </c>
    </row>
    <row r="294" spans="1:1">
      <c r="A294" t="s">
        <v>443</v>
      </c>
    </row>
    <row r="295" spans="1:1">
      <c r="A295" t="s">
        <v>445</v>
      </c>
    </row>
    <row r="296" spans="1:1">
      <c r="A296" t="s">
        <v>444</v>
      </c>
    </row>
    <row r="297" spans="1:1">
      <c r="A297" t="s">
        <v>445</v>
      </c>
    </row>
    <row r="298" spans="1:1">
      <c r="A298" t="s">
        <v>443</v>
      </c>
    </row>
    <row r="299" spans="1:1">
      <c r="A299" t="s">
        <v>444</v>
      </c>
    </row>
    <row r="300" spans="1:1">
      <c r="A300" t="s">
        <v>443</v>
      </c>
    </row>
    <row r="301" spans="1:1">
      <c r="A301" t="s">
        <v>445</v>
      </c>
    </row>
    <row r="302" spans="1:1">
      <c r="A302" t="s">
        <v>443</v>
      </c>
    </row>
    <row r="303" spans="1:1">
      <c r="A303" t="s">
        <v>444</v>
      </c>
    </row>
    <row r="304" spans="1:1">
      <c r="A304" t="s">
        <v>444</v>
      </c>
    </row>
    <row r="305" spans="1:1">
      <c r="A305" t="s">
        <v>443</v>
      </c>
    </row>
    <row r="306" spans="1:1">
      <c r="A306" t="s">
        <v>444</v>
      </c>
    </row>
    <row r="307" spans="1:1">
      <c r="A307" t="s">
        <v>444</v>
      </c>
    </row>
    <row r="308" spans="1:1">
      <c r="A308" t="s">
        <v>445</v>
      </c>
    </row>
    <row r="309" spans="1:1">
      <c r="A309" t="s">
        <v>444</v>
      </c>
    </row>
    <row r="310" spans="1:1">
      <c r="A310" t="s">
        <v>443</v>
      </c>
    </row>
    <row r="311" spans="1:1">
      <c r="A311" t="s">
        <v>443</v>
      </c>
    </row>
    <row r="312" spans="1:1">
      <c r="A312" t="s">
        <v>444</v>
      </c>
    </row>
    <row r="313" spans="1:1">
      <c r="A313" t="s">
        <v>443</v>
      </c>
    </row>
    <row r="314" spans="1:1">
      <c r="A314" t="s">
        <v>444</v>
      </c>
    </row>
    <row r="315" spans="1:1">
      <c r="A315" t="s">
        <v>444</v>
      </c>
    </row>
    <row r="316" spans="1:1">
      <c r="A316" t="s">
        <v>445</v>
      </c>
    </row>
    <row r="317" spans="1:1">
      <c r="A317" t="s">
        <v>444</v>
      </c>
    </row>
    <row r="318" spans="1:1">
      <c r="A318" t="s">
        <v>444</v>
      </c>
    </row>
    <row r="319" spans="1:1">
      <c r="A319" t="s">
        <v>443</v>
      </c>
    </row>
    <row r="320" spans="1:1">
      <c r="A320" t="s">
        <v>443</v>
      </c>
    </row>
    <row r="321" spans="1:1">
      <c r="A321" t="s">
        <v>444</v>
      </c>
    </row>
    <row r="322" spans="1:1">
      <c r="A322" t="s">
        <v>443</v>
      </c>
    </row>
    <row r="323" spans="1:1">
      <c r="A323" t="s">
        <v>445</v>
      </c>
    </row>
    <row r="324" spans="1:1">
      <c r="A324" t="s">
        <v>444</v>
      </c>
    </row>
    <row r="325" spans="1:1">
      <c r="A325" t="s">
        <v>443</v>
      </c>
    </row>
    <row r="326" spans="1:1">
      <c r="A326" t="s">
        <v>444</v>
      </c>
    </row>
    <row r="327" spans="1:1">
      <c r="A327" t="s">
        <v>445</v>
      </c>
    </row>
    <row r="328" spans="1:1">
      <c r="A328" t="s">
        <v>445</v>
      </c>
    </row>
    <row r="329" spans="1:1">
      <c r="A329" t="s">
        <v>444</v>
      </c>
    </row>
    <row r="330" spans="1:1">
      <c r="A330" t="s">
        <v>444</v>
      </c>
    </row>
    <row r="331" spans="1:1">
      <c r="A331" t="s">
        <v>444</v>
      </c>
    </row>
    <row r="332" spans="1:1">
      <c r="A332" t="s">
        <v>444</v>
      </c>
    </row>
    <row r="333" spans="1:1">
      <c r="A333" t="s">
        <v>444</v>
      </c>
    </row>
    <row r="334" spans="1:1">
      <c r="A334" t="s">
        <v>443</v>
      </c>
    </row>
    <row r="335" spans="1:1">
      <c r="A335" t="s">
        <v>444</v>
      </c>
    </row>
    <row r="336" spans="1:1">
      <c r="A336" t="s">
        <v>445</v>
      </c>
    </row>
    <row r="337" spans="1:1">
      <c r="A337" t="s">
        <v>444</v>
      </c>
    </row>
    <row r="338" spans="1:1">
      <c r="A338" t="s">
        <v>444</v>
      </c>
    </row>
    <row r="339" spans="1:1">
      <c r="A339" t="s">
        <v>443</v>
      </c>
    </row>
    <row r="340" spans="1:1">
      <c r="A340" t="s">
        <v>445</v>
      </c>
    </row>
    <row r="341" spans="1:1">
      <c r="A341" t="s">
        <v>444</v>
      </c>
    </row>
    <row r="342" spans="1:1">
      <c r="A342" t="s">
        <v>444</v>
      </c>
    </row>
    <row r="343" spans="1:1">
      <c r="A343" t="s">
        <v>444</v>
      </c>
    </row>
    <row r="344" spans="1:1">
      <c r="A344" t="s">
        <v>444</v>
      </c>
    </row>
    <row r="345" spans="1:1">
      <c r="A345" t="s">
        <v>444</v>
      </c>
    </row>
    <row r="346" spans="1:1">
      <c r="A346" t="s">
        <v>444</v>
      </c>
    </row>
    <row r="347" spans="1:1">
      <c r="A347" t="s">
        <v>443</v>
      </c>
    </row>
    <row r="348" spans="1:1">
      <c r="A348" t="s">
        <v>445</v>
      </c>
    </row>
    <row r="349" spans="1:1">
      <c r="A349" t="s">
        <v>444</v>
      </c>
    </row>
    <row r="350" spans="1:1">
      <c r="A350" t="s">
        <v>445</v>
      </c>
    </row>
    <row r="351" spans="1:1">
      <c r="A351" t="s">
        <v>444</v>
      </c>
    </row>
    <row r="352" spans="1:1">
      <c r="A352" t="s">
        <v>443</v>
      </c>
    </row>
    <row r="353" spans="1:1">
      <c r="A353" t="s">
        <v>444</v>
      </c>
    </row>
    <row r="354" spans="1:1">
      <c r="A354" t="s">
        <v>443</v>
      </c>
    </row>
    <row r="355" spans="1:1">
      <c r="A355" t="s">
        <v>443</v>
      </c>
    </row>
    <row r="356" spans="1:1">
      <c r="A356" t="s">
        <v>443</v>
      </c>
    </row>
    <row r="357" spans="1:1">
      <c r="A357" t="s">
        <v>443</v>
      </c>
    </row>
    <row r="358" spans="1:1">
      <c r="A358" t="s">
        <v>445</v>
      </c>
    </row>
    <row r="359" spans="1:1">
      <c r="A359" t="s">
        <v>445</v>
      </c>
    </row>
    <row r="360" spans="1:1">
      <c r="A360" t="s">
        <v>444</v>
      </c>
    </row>
    <row r="361" spans="1:1">
      <c r="A361" t="s">
        <v>443</v>
      </c>
    </row>
    <row r="362" spans="1:1">
      <c r="A362" t="s">
        <v>445</v>
      </c>
    </row>
    <row r="363" spans="1:1">
      <c r="A363" t="s">
        <v>443</v>
      </c>
    </row>
    <row r="364" spans="1:1">
      <c r="A364" t="s">
        <v>443</v>
      </c>
    </row>
    <row r="365" spans="1:1">
      <c r="A365" t="s">
        <v>444</v>
      </c>
    </row>
    <row r="366" spans="1:1">
      <c r="A366" t="s">
        <v>444</v>
      </c>
    </row>
    <row r="367" spans="1:1">
      <c r="A367" t="s">
        <v>443</v>
      </c>
    </row>
    <row r="368" spans="1:1">
      <c r="A368" t="s">
        <v>443</v>
      </c>
    </row>
    <row r="369" spans="1:1">
      <c r="A369" t="s">
        <v>444</v>
      </c>
    </row>
    <row r="370" spans="1:1">
      <c r="A370" t="s">
        <v>445</v>
      </c>
    </row>
    <row r="371" spans="1:1">
      <c r="A371" t="s">
        <v>443</v>
      </c>
    </row>
    <row r="372" spans="1:1">
      <c r="A372" t="s">
        <v>443</v>
      </c>
    </row>
    <row r="373" spans="1:1">
      <c r="A373" t="s">
        <v>443</v>
      </c>
    </row>
    <row r="374" spans="1:1">
      <c r="A374" t="s">
        <v>443</v>
      </c>
    </row>
    <row r="375" spans="1:1">
      <c r="A375" t="s">
        <v>443</v>
      </c>
    </row>
    <row r="376" spans="1:1">
      <c r="A376" t="s">
        <v>444</v>
      </c>
    </row>
    <row r="377" spans="1:1">
      <c r="A377" t="s">
        <v>444</v>
      </c>
    </row>
    <row r="378" spans="1:1">
      <c r="A378" t="s">
        <v>443</v>
      </c>
    </row>
    <row r="379" spans="1:1">
      <c r="A379" t="s">
        <v>444</v>
      </c>
    </row>
    <row r="380" spans="1:1">
      <c r="A380" t="s">
        <v>443</v>
      </c>
    </row>
    <row r="381" spans="1:1">
      <c r="A381" t="s">
        <v>444</v>
      </c>
    </row>
    <row r="382" spans="1:1">
      <c r="A382" t="s">
        <v>443</v>
      </c>
    </row>
    <row r="383" spans="1:1">
      <c r="A383" t="s">
        <v>443</v>
      </c>
    </row>
    <row r="384" spans="1:1">
      <c r="A384" t="s">
        <v>444</v>
      </c>
    </row>
    <row r="385" spans="1:1">
      <c r="A385" t="s">
        <v>443</v>
      </c>
    </row>
    <row r="386" spans="1:1">
      <c r="A386" t="s">
        <v>444</v>
      </c>
    </row>
    <row r="387" spans="1:1">
      <c r="A387" t="s">
        <v>443</v>
      </c>
    </row>
    <row r="388" spans="1:1">
      <c r="A388" t="s">
        <v>444</v>
      </c>
    </row>
    <row r="389" spans="1:1">
      <c r="A389" t="s">
        <v>443</v>
      </c>
    </row>
    <row r="390" spans="1:1">
      <c r="A390" t="s">
        <v>443</v>
      </c>
    </row>
    <row r="391" spans="1:1">
      <c r="A391" t="s">
        <v>443</v>
      </c>
    </row>
    <row r="392" spans="1:1">
      <c r="A392" t="s">
        <v>444</v>
      </c>
    </row>
    <row r="393" spans="1:1">
      <c r="A393" t="s">
        <v>444</v>
      </c>
    </row>
    <row r="394" spans="1:1">
      <c r="A394" t="s">
        <v>443</v>
      </c>
    </row>
    <row r="395" spans="1:1">
      <c r="A395" t="s">
        <v>443</v>
      </c>
    </row>
    <row r="396" spans="1:1">
      <c r="A396" t="s">
        <v>444</v>
      </c>
    </row>
    <row r="397" spans="1:1">
      <c r="A397" t="s">
        <v>444</v>
      </c>
    </row>
    <row r="398" spans="1:1">
      <c r="A398" t="s">
        <v>444</v>
      </c>
    </row>
    <row r="399" spans="1:1">
      <c r="A399" t="s">
        <v>444</v>
      </c>
    </row>
    <row r="400" spans="1:1">
      <c r="A400" t="s">
        <v>443</v>
      </c>
    </row>
    <row r="401" spans="1:1">
      <c r="A401" t="s">
        <v>444</v>
      </c>
    </row>
  </sheetData>
  <mergeCells count="24">
    <mergeCell ref="C49:F49"/>
    <mergeCell ref="C5:D5"/>
    <mergeCell ref="C7:D7"/>
    <mergeCell ref="C9:D9"/>
    <mergeCell ref="D56:F56"/>
    <mergeCell ref="C1:F1"/>
    <mergeCell ref="C43:E43"/>
    <mergeCell ref="C44:E44"/>
    <mergeCell ref="C45:E45"/>
    <mergeCell ref="C46:E46"/>
    <mergeCell ref="C47:F47"/>
    <mergeCell ref="C48:F48"/>
    <mergeCell ref="C37:E37"/>
    <mergeCell ref="C38:E38"/>
    <mergeCell ref="C39:F39"/>
    <mergeCell ref="C40:E40"/>
    <mergeCell ref="C41:E41"/>
    <mergeCell ref="C42:F42"/>
    <mergeCell ref="C27:F27"/>
    <mergeCell ref="C28:F28"/>
    <mergeCell ref="C29:F29"/>
    <mergeCell ref="C30:F30"/>
    <mergeCell ref="C34:F34"/>
    <mergeCell ref="C36:F36"/>
  </mergeCells>
  <phoneticPr fontId="67" type="noConversion"/>
  <conditionalFormatting sqref="F38">
    <cfRule type="cellIs" dxfId="1" priority="1" stopIfTrue="1" operator="notEqual">
      <formula>""</formula>
    </cfRule>
  </conditionalFormatting>
  <pageMargins left="0.7" right="0.7" top="0.75" bottom="0.75" header="0.3" footer="0.3"/>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26AD2-AEF7-A84C-8AF6-ABA82319224F}">
  <dimension ref="A1:J401"/>
  <sheetViews>
    <sheetView zoomScale="93" workbookViewId="0">
      <selection activeCell="F24" sqref="F24"/>
    </sheetView>
  </sheetViews>
  <sheetFormatPr baseColWidth="10" defaultRowHeight="15"/>
  <cols>
    <col min="1" max="1" width="12.5" customWidth="1"/>
    <col min="2" max="2" width="13.6640625" customWidth="1"/>
    <col min="6" max="6" width="57.6640625" customWidth="1"/>
    <col min="7" max="7" width="57.83203125" customWidth="1"/>
    <col min="8" max="8" width="50.83203125" customWidth="1"/>
    <col min="9" max="9" width="47.5" customWidth="1"/>
    <col min="10" max="10" width="38.33203125" customWidth="1"/>
    <col min="11" max="11" width="30.5" customWidth="1"/>
  </cols>
  <sheetData>
    <row r="1" spans="1:10" ht="20">
      <c r="A1" s="2" t="s">
        <v>464</v>
      </c>
      <c r="B1" s="2" t="s">
        <v>8</v>
      </c>
      <c r="F1" s="299" t="s">
        <v>701</v>
      </c>
      <c r="G1" s="299"/>
      <c r="H1" s="299"/>
    </row>
    <row r="2" spans="1:10">
      <c r="A2">
        <v>17.388000000000002</v>
      </c>
      <c r="B2" t="s">
        <v>434</v>
      </c>
    </row>
    <row r="3" spans="1:10">
      <c r="A3">
        <v>46.656999999999996</v>
      </c>
      <c r="B3" t="s">
        <v>434</v>
      </c>
    </row>
    <row r="4" spans="1:10">
      <c r="A4">
        <v>68.616</v>
      </c>
      <c r="B4" t="s">
        <v>435</v>
      </c>
    </row>
    <row r="5" spans="1:10">
      <c r="A5">
        <v>28.391999999999999</v>
      </c>
      <c r="B5" t="s">
        <v>436</v>
      </c>
      <c r="F5" s="142" t="s">
        <v>465</v>
      </c>
      <c r="G5" s="142"/>
      <c r="I5" s="142" t="s">
        <v>465</v>
      </c>
      <c r="J5" s="142"/>
    </row>
    <row r="6" spans="1:10" ht="16" thickBot="1">
      <c r="A6">
        <v>43.87</v>
      </c>
      <c r="B6" t="s">
        <v>435</v>
      </c>
      <c r="F6" s="4"/>
      <c r="G6" s="4"/>
      <c r="I6" s="4"/>
      <c r="J6" s="4"/>
    </row>
    <row r="7" spans="1:10">
      <c r="A7">
        <v>65.685000000000002</v>
      </c>
      <c r="B7" t="s">
        <v>436</v>
      </c>
      <c r="F7" s="136" t="s">
        <v>533</v>
      </c>
      <c r="G7" s="138"/>
      <c r="I7" s="136" t="s">
        <v>533</v>
      </c>
      <c r="J7" s="138"/>
    </row>
    <row r="8" spans="1:10">
      <c r="A8">
        <v>25.864999999999998</v>
      </c>
      <c r="B8" t="s">
        <v>434</v>
      </c>
      <c r="F8" s="87"/>
      <c r="G8" s="86"/>
      <c r="I8" s="87"/>
      <c r="J8" s="86"/>
    </row>
    <row r="9" spans="1:10">
      <c r="A9">
        <v>40.753999999999998</v>
      </c>
      <c r="B9" t="s">
        <v>436</v>
      </c>
      <c r="F9" s="115" t="s">
        <v>471</v>
      </c>
      <c r="G9" s="117"/>
      <c r="I9" s="115" t="s">
        <v>471</v>
      </c>
      <c r="J9" s="117"/>
    </row>
    <row r="10" spans="1:10">
      <c r="A10">
        <v>16.122</v>
      </c>
      <c r="B10" t="s">
        <v>436</v>
      </c>
      <c r="F10" s="67" t="s">
        <v>531</v>
      </c>
      <c r="G10" s="84">
        <f>_xlfn.STDEV.S(A2:A401)</f>
        <v>23.607615107367838</v>
      </c>
      <c r="I10" s="67" t="s">
        <v>531</v>
      </c>
      <c r="J10" s="84">
        <f>_xlfn.STDEV.S(A2:A401)</f>
        <v>23.607615107367838</v>
      </c>
    </row>
    <row r="11" spans="1:10">
      <c r="A11">
        <v>43.776000000000003</v>
      </c>
      <c r="B11" t="s">
        <v>435</v>
      </c>
      <c r="F11" s="67" t="s">
        <v>530</v>
      </c>
      <c r="G11" s="82">
        <v>2000</v>
      </c>
      <c r="I11" s="67" t="s">
        <v>530</v>
      </c>
      <c r="J11" s="82">
        <v>2000</v>
      </c>
    </row>
    <row r="12" spans="1:10">
      <c r="A12">
        <v>63.607999999999997</v>
      </c>
      <c r="B12" t="s">
        <v>434</v>
      </c>
      <c r="F12" s="67" t="s">
        <v>478</v>
      </c>
      <c r="G12" s="81">
        <v>0.95</v>
      </c>
      <c r="I12" s="67" t="s">
        <v>478</v>
      </c>
      <c r="J12" s="81">
        <v>0.9</v>
      </c>
    </row>
    <row r="13" spans="1:10">
      <c r="A13">
        <v>35.884</v>
      </c>
      <c r="B13" t="s">
        <v>436</v>
      </c>
      <c r="F13" s="80"/>
      <c r="G13" s="79"/>
      <c r="I13" s="80"/>
      <c r="J13" s="79"/>
    </row>
    <row r="14" spans="1:10">
      <c r="A14">
        <v>59.942999999999998</v>
      </c>
      <c r="B14" t="s">
        <v>434</v>
      </c>
      <c r="F14" s="115" t="s">
        <v>480</v>
      </c>
      <c r="G14" s="117"/>
      <c r="I14" s="115" t="s">
        <v>480</v>
      </c>
      <c r="J14" s="117"/>
    </row>
    <row r="15" spans="1:10">
      <c r="A15">
        <v>55.834000000000003</v>
      </c>
      <c r="B15" t="s">
        <v>435</v>
      </c>
      <c r="F15" s="67" t="s">
        <v>529</v>
      </c>
      <c r="G15" s="278">
        <v>1.96</v>
      </c>
      <c r="I15" s="67" t="s">
        <v>529</v>
      </c>
      <c r="J15" s="278">
        <f>_xlfn.NORM.S.INV((1-0.1/2))</f>
        <v>1.6448536269514715</v>
      </c>
    </row>
    <row r="16" spans="1:10">
      <c r="A16">
        <v>15.707000000000001</v>
      </c>
      <c r="B16" t="s">
        <v>434</v>
      </c>
      <c r="F16" s="67" t="s">
        <v>528</v>
      </c>
      <c r="G16" s="278">
        <f>(G15*G10/2)^2</f>
        <v>535.24963921174037</v>
      </c>
      <c r="I16" s="67" t="s">
        <v>528</v>
      </c>
      <c r="J16" s="277">
        <f>(J15*J10/2)^2</f>
        <v>376.96302521768382</v>
      </c>
    </row>
    <row r="17" spans="1:10">
      <c r="A17">
        <v>67.504000000000005</v>
      </c>
      <c r="B17" t="s">
        <v>436</v>
      </c>
      <c r="F17" s="76"/>
      <c r="G17" s="75"/>
      <c r="I17" s="76"/>
      <c r="J17" s="75"/>
    </row>
    <row r="18" spans="1:10">
      <c r="A18">
        <v>42.305</v>
      </c>
      <c r="B18" t="s">
        <v>435</v>
      </c>
      <c r="F18" s="115" t="s">
        <v>527</v>
      </c>
      <c r="G18" s="117"/>
      <c r="I18" s="115" t="s">
        <v>527</v>
      </c>
      <c r="J18" s="117"/>
    </row>
    <row r="19" spans="1:10" ht="16" thickBot="1">
      <c r="A19">
        <v>45.494</v>
      </c>
      <c r="B19" t="s">
        <v>437</v>
      </c>
      <c r="F19" s="74" t="s">
        <v>526</v>
      </c>
      <c r="G19" s="73">
        <v>536</v>
      </c>
      <c r="I19" s="74" t="s">
        <v>526</v>
      </c>
      <c r="J19" s="73">
        <f>_xlfn.CEILING.MATH(J16)</f>
        <v>377</v>
      </c>
    </row>
    <row r="20" spans="1:10">
      <c r="A20">
        <v>25.003</v>
      </c>
      <c r="B20" t="s">
        <v>437</v>
      </c>
    </row>
    <row r="21" spans="1:10">
      <c r="A21">
        <v>46.646000000000001</v>
      </c>
      <c r="B21" t="s">
        <v>434</v>
      </c>
    </row>
    <row r="22" spans="1:10">
      <c r="A22">
        <v>32.247999999999998</v>
      </c>
      <c r="B22" t="s">
        <v>434</v>
      </c>
    </row>
    <row r="23" spans="1:10">
      <c r="A23">
        <v>71.543000000000006</v>
      </c>
      <c r="B23" t="s">
        <v>434</v>
      </c>
    </row>
    <row r="24" spans="1:10">
      <c r="A24">
        <v>37.268999999999998</v>
      </c>
      <c r="B24" t="s">
        <v>435</v>
      </c>
      <c r="G24" s="142" t="s">
        <v>465</v>
      </c>
      <c r="H24" s="142"/>
    </row>
    <row r="25" spans="1:10" ht="16" thickBot="1">
      <c r="A25">
        <v>34.418999999999997</v>
      </c>
      <c r="B25" t="s">
        <v>436</v>
      </c>
      <c r="G25" s="4"/>
      <c r="H25" s="4"/>
    </row>
    <row r="26" spans="1:10">
      <c r="A26">
        <v>62.975000000000001</v>
      </c>
      <c r="B26" t="s">
        <v>434</v>
      </c>
      <c r="G26" s="136" t="s">
        <v>533</v>
      </c>
      <c r="H26" s="138"/>
    </row>
    <row r="27" spans="1:10">
      <c r="A27">
        <v>51.877000000000002</v>
      </c>
      <c r="B27" t="s">
        <v>436</v>
      </c>
      <c r="G27" s="87"/>
      <c r="H27" s="86"/>
    </row>
    <row r="28" spans="1:10">
      <c r="A28">
        <v>38.255000000000003</v>
      </c>
      <c r="B28" t="s">
        <v>435</v>
      </c>
      <c r="G28" s="115" t="s">
        <v>471</v>
      </c>
      <c r="H28" s="117"/>
    </row>
    <row r="29" spans="1:10">
      <c r="A29">
        <v>20.73</v>
      </c>
      <c r="B29" t="s">
        <v>436</v>
      </c>
      <c r="G29" s="67" t="s">
        <v>531</v>
      </c>
      <c r="H29" s="84">
        <f>_xlfn.STDEV.S(A2:A401)</f>
        <v>23.607615107367838</v>
      </c>
    </row>
    <row r="30" spans="1:10">
      <c r="A30">
        <v>42.258000000000003</v>
      </c>
      <c r="B30" t="s">
        <v>437</v>
      </c>
      <c r="G30" s="67" t="s">
        <v>530</v>
      </c>
      <c r="H30" s="82">
        <v>2000</v>
      </c>
    </row>
    <row r="31" spans="1:10">
      <c r="A31">
        <v>66.81</v>
      </c>
      <c r="B31" t="s">
        <v>434</v>
      </c>
      <c r="G31" s="67" t="s">
        <v>478</v>
      </c>
      <c r="H31" s="81">
        <v>0.99</v>
      </c>
    </row>
    <row r="32" spans="1:10">
      <c r="A32">
        <v>8.32</v>
      </c>
      <c r="B32" t="s">
        <v>435</v>
      </c>
      <c r="G32" s="80"/>
      <c r="H32" s="79"/>
    </row>
    <row r="33" spans="1:10">
      <c r="A33">
        <v>76.06</v>
      </c>
      <c r="B33" t="s">
        <v>435</v>
      </c>
      <c r="G33" s="115" t="s">
        <v>480</v>
      </c>
      <c r="H33" s="117"/>
    </row>
    <row r="34" spans="1:10">
      <c r="A34">
        <v>69.683000000000007</v>
      </c>
      <c r="B34" t="s">
        <v>434</v>
      </c>
      <c r="G34" s="67" t="s">
        <v>529</v>
      </c>
      <c r="H34" s="278">
        <f>_xlfn.NORM.S.INV(1-0.01/2)</f>
        <v>2.5758293035488999</v>
      </c>
    </row>
    <row r="35" spans="1:10">
      <c r="A35">
        <v>12.763</v>
      </c>
      <c r="B35" t="s">
        <v>434</v>
      </c>
      <c r="G35" s="67" t="s">
        <v>528</v>
      </c>
      <c r="H35" s="279">
        <f>(H34*H29/2)^2</f>
        <v>924.43929922527207</v>
      </c>
    </row>
    <row r="36" spans="1:10">
      <c r="A36">
        <v>71.554000000000002</v>
      </c>
      <c r="B36" t="s">
        <v>435</v>
      </c>
      <c r="G36" s="76"/>
      <c r="H36" s="75"/>
    </row>
    <row r="37" spans="1:10">
      <c r="A37">
        <v>25.687000000000001</v>
      </c>
      <c r="B37" t="s">
        <v>436</v>
      </c>
      <c r="G37" s="115" t="s">
        <v>527</v>
      </c>
      <c r="H37" s="117"/>
    </row>
    <row r="38" spans="1:10" ht="16" thickBot="1">
      <c r="A38">
        <v>79.507999999999996</v>
      </c>
      <c r="B38" t="s">
        <v>436</v>
      </c>
      <c r="G38" s="74" t="s">
        <v>526</v>
      </c>
      <c r="H38" s="73">
        <v>925</v>
      </c>
    </row>
    <row r="39" spans="1:10">
      <c r="A39">
        <v>55.863999999999997</v>
      </c>
      <c r="B39" t="s">
        <v>436</v>
      </c>
    </row>
    <row r="40" spans="1:10">
      <c r="A40">
        <v>21.869</v>
      </c>
      <c r="B40" t="s">
        <v>435</v>
      </c>
    </row>
    <row r="41" spans="1:10">
      <c r="A41">
        <v>48.048999999999999</v>
      </c>
      <c r="B41" t="s">
        <v>437</v>
      </c>
    </row>
    <row r="42" spans="1:10">
      <c r="A42">
        <v>56.99</v>
      </c>
      <c r="B42" t="s">
        <v>434</v>
      </c>
    </row>
    <row r="43" spans="1:10">
      <c r="A43">
        <v>56.372999999999998</v>
      </c>
      <c r="B43" t="s">
        <v>437</v>
      </c>
      <c r="F43" t="s">
        <v>700</v>
      </c>
      <c r="G43">
        <f>COUNTIF(B2:B401,"Always")</f>
        <v>38</v>
      </c>
    </row>
    <row r="44" spans="1:10">
      <c r="A44">
        <v>44.795000000000002</v>
      </c>
      <c r="B44" t="s">
        <v>437</v>
      </c>
      <c r="F44" t="s">
        <v>699</v>
      </c>
      <c r="G44">
        <v>400</v>
      </c>
    </row>
    <row r="45" spans="1:10">
      <c r="A45">
        <v>22.158000000000001</v>
      </c>
      <c r="B45" t="s">
        <v>435</v>
      </c>
    </row>
    <row r="46" spans="1:10">
      <c r="A46">
        <v>59.811999999999998</v>
      </c>
      <c r="B46" t="s">
        <v>434</v>
      </c>
      <c r="F46" s="142" t="s">
        <v>468</v>
      </c>
      <c r="G46" s="142"/>
      <c r="I46" s="142" t="s">
        <v>468</v>
      </c>
      <c r="J46" s="142"/>
    </row>
    <row r="47" spans="1:10" ht="16" thickBot="1">
      <c r="A47">
        <v>28.178000000000001</v>
      </c>
      <c r="B47" t="s">
        <v>435</v>
      </c>
      <c r="F47" s="4"/>
      <c r="G47" s="4"/>
      <c r="I47" s="4"/>
      <c r="J47" s="4"/>
    </row>
    <row r="48" spans="1:10">
      <c r="A48">
        <v>30.478000000000002</v>
      </c>
      <c r="B48" t="s">
        <v>436</v>
      </c>
      <c r="F48" s="136" t="s">
        <v>534</v>
      </c>
      <c r="G48" s="138"/>
      <c r="I48" s="136" t="s">
        <v>534</v>
      </c>
      <c r="J48" s="138"/>
    </row>
    <row r="49" spans="1:10">
      <c r="A49">
        <v>33.076000000000001</v>
      </c>
      <c r="B49" t="s">
        <v>436</v>
      </c>
      <c r="F49" s="87"/>
      <c r="G49" s="86"/>
      <c r="I49" s="87"/>
      <c r="J49" s="86"/>
    </row>
    <row r="50" spans="1:10">
      <c r="A50">
        <v>38.529000000000003</v>
      </c>
      <c r="B50" t="s">
        <v>436</v>
      </c>
      <c r="F50" s="115" t="s">
        <v>471</v>
      </c>
      <c r="G50" s="117"/>
      <c r="I50" s="115" t="s">
        <v>471</v>
      </c>
      <c r="J50" s="117"/>
    </row>
    <row r="51" spans="1:10">
      <c r="A51">
        <v>25.236000000000001</v>
      </c>
      <c r="B51" t="s">
        <v>436</v>
      </c>
      <c r="F51" s="67" t="s">
        <v>532</v>
      </c>
      <c r="G51" s="276">
        <f>38/400</f>
        <v>9.5000000000000001E-2</v>
      </c>
      <c r="I51" s="67" t="s">
        <v>532</v>
      </c>
      <c r="J51" s="276">
        <v>0.1</v>
      </c>
    </row>
    <row r="52" spans="1:10">
      <c r="A52">
        <v>43.134</v>
      </c>
      <c r="B52" t="s">
        <v>437</v>
      </c>
      <c r="F52" s="67" t="s">
        <v>530</v>
      </c>
      <c r="G52" s="276">
        <v>0.03</v>
      </c>
      <c r="I52" s="67" t="s">
        <v>530</v>
      </c>
      <c r="J52" s="276">
        <v>0.03</v>
      </c>
    </row>
    <row r="53" spans="1:10">
      <c r="A53">
        <v>40.027999999999999</v>
      </c>
      <c r="B53" t="s">
        <v>436</v>
      </c>
      <c r="F53" s="67" t="s">
        <v>478</v>
      </c>
      <c r="G53" s="81">
        <v>0.95</v>
      </c>
      <c r="I53" s="67" t="s">
        <v>478</v>
      </c>
      <c r="J53" s="81">
        <v>0.9</v>
      </c>
    </row>
    <row r="54" spans="1:10">
      <c r="A54">
        <v>18.603000000000002</v>
      </c>
      <c r="B54" t="s">
        <v>436</v>
      </c>
      <c r="F54" s="80"/>
      <c r="G54" s="79"/>
      <c r="I54" s="80"/>
      <c r="J54" s="79"/>
    </row>
    <row r="55" spans="1:10">
      <c r="A55">
        <v>29.172999999999998</v>
      </c>
      <c r="B55" t="s">
        <v>436</v>
      </c>
      <c r="F55" s="115" t="s">
        <v>480</v>
      </c>
      <c r="G55" s="117"/>
      <c r="I55" s="115" t="s">
        <v>480</v>
      </c>
      <c r="J55" s="117"/>
    </row>
    <row r="56" spans="1:10">
      <c r="A56">
        <v>36.603000000000002</v>
      </c>
      <c r="B56" t="s">
        <v>434</v>
      </c>
      <c r="F56" s="67" t="s">
        <v>529</v>
      </c>
      <c r="G56" s="298">
        <f>_xlfn.NORM.S.INV(1-0.05/2)</f>
        <v>1.9599639845400536</v>
      </c>
      <c r="I56" s="67" t="s">
        <v>529</v>
      </c>
      <c r="J56" s="298">
        <f>_xlfn.NORM.S.INV(1-0.1/2)</f>
        <v>1.6448536269514715</v>
      </c>
    </row>
    <row r="57" spans="1:10">
      <c r="A57">
        <v>73.004000000000005</v>
      </c>
      <c r="B57" t="s">
        <v>435</v>
      </c>
      <c r="F57" s="67" t="s">
        <v>528</v>
      </c>
      <c r="G57" s="277">
        <f>G51*(1-G51)*G56^2/G52^2</f>
        <v>366.9660245657526</v>
      </c>
      <c r="I57" s="67" t="s">
        <v>528</v>
      </c>
      <c r="J57" s="277">
        <f>J51*(1-J51)*J56^2/J52^2</f>
        <v>270.5543454095411</v>
      </c>
    </row>
    <row r="58" spans="1:10">
      <c r="A58">
        <v>56.515000000000001</v>
      </c>
      <c r="B58" t="s">
        <v>434</v>
      </c>
      <c r="F58" s="76"/>
      <c r="G58" s="75"/>
      <c r="I58" s="76"/>
      <c r="J58" s="75"/>
    </row>
    <row r="59" spans="1:10">
      <c r="A59">
        <v>61.512</v>
      </c>
      <c r="B59" t="s">
        <v>436</v>
      </c>
      <c r="F59" s="115" t="s">
        <v>527</v>
      </c>
      <c r="G59" s="117"/>
      <c r="I59" s="115" t="s">
        <v>527</v>
      </c>
      <c r="J59" s="117"/>
    </row>
    <row r="60" spans="1:10" ht="16" thickBot="1">
      <c r="A60">
        <v>80.498000000000005</v>
      </c>
      <c r="B60" t="s">
        <v>435</v>
      </c>
      <c r="F60" s="74" t="s">
        <v>526</v>
      </c>
      <c r="G60" s="73">
        <v>367</v>
      </c>
      <c r="I60" s="74" t="s">
        <v>526</v>
      </c>
      <c r="J60" s="73">
        <v>271</v>
      </c>
    </row>
    <row r="61" spans="1:10">
      <c r="A61">
        <v>27.545999999999999</v>
      </c>
      <c r="B61" t="s">
        <v>436</v>
      </c>
    </row>
    <row r="62" spans="1:10">
      <c r="A62">
        <v>69.968000000000004</v>
      </c>
      <c r="B62" t="s">
        <v>435</v>
      </c>
    </row>
    <row r="63" spans="1:10">
      <c r="A63">
        <v>79.772000000000006</v>
      </c>
      <c r="B63" t="s">
        <v>435</v>
      </c>
    </row>
    <row r="64" spans="1:10">
      <c r="A64">
        <v>25.855</v>
      </c>
      <c r="B64" t="s">
        <v>436</v>
      </c>
    </row>
    <row r="65" spans="1:8">
      <c r="A65">
        <v>19.073</v>
      </c>
      <c r="B65" t="s">
        <v>435</v>
      </c>
    </row>
    <row r="66" spans="1:8">
      <c r="A66">
        <v>26.183</v>
      </c>
      <c r="B66" t="s">
        <v>434</v>
      </c>
    </row>
    <row r="67" spans="1:8">
      <c r="A67">
        <v>13.362</v>
      </c>
      <c r="B67" t="s">
        <v>437</v>
      </c>
      <c r="G67" s="142" t="s">
        <v>468</v>
      </c>
      <c r="H67" s="142"/>
    </row>
    <row r="68" spans="1:8" ht="16" thickBot="1">
      <c r="A68">
        <v>68.884</v>
      </c>
      <c r="B68" t="s">
        <v>434</v>
      </c>
      <c r="G68" s="4"/>
      <c r="H68" s="4"/>
    </row>
    <row r="69" spans="1:8">
      <c r="A69">
        <v>9.5280000000000005</v>
      </c>
      <c r="B69" t="s">
        <v>435</v>
      </c>
      <c r="G69" s="136" t="s">
        <v>534</v>
      </c>
      <c r="H69" s="138"/>
    </row>
    <row r="70" spans="1:8">
      <c r="A70">
        <v>88.766999999999996</v>
      </c>
      <c r="B70" t="s">
        <v>437</v>
      </c>
      <c r="G70" s="87"/>
      <c r="H70" s="86"/>
    </row>
    <row r="71" spans="1:8">
      <c r="A71">
        <v>68.938000000000002</v>
      </c>
      <c r="B71" t="s">
        <v>435</v>
      </c>
      <c r="G71" s="115" t="s">
        <v>471</v>
      </c>
      <c r="H71" s="117"/>
    </row>
    <row r="72" spans="1:8">
      <c r="A72">
        <v>35.783000000000001</v>
      </c>
      <c r="B72" t="s">
        <v>434</v>
      </c>
      <c r="G72" s="67" t="s">
        <v>532</v>
      </c>
      <c r="H72" s="276">
        <v>0.1</v>
      </c>
    </row>
    <row r="73" spans="1:8">
      <c r="A73">
        <v>68.212000000000003</v>
      </c>
      <c r="B73" t="s">
        <v>435</v>
      </c>
      <c r="G73" s="67" t="s">
        <v>530</v>
      </c>
      <c r="H73" s="276">
        <v>0.03</v>
      </c>
    </row>
    <row r="74" spans="1:8">
      <c r="A74">
        <v>55.284999999999997</v>
      </c>
      <c r="B74" t="s">
        <v>434</v>
      </c>
      <c r="G74" s="67" t="s">
        <v>478</v>
      </c>
      <c r="H74" s="81">
        <v>0.99</v>
      </c>
    </row>
    <row r="75" spans="1:8">
      <c r="A75">
        <v>32.976999999999997</v>
      </c>
      <c r="B75" t="s">
        <v>436</v>
      </c>
      <c r="G75" s="80"/>
      <c r="H75" s="79"/>
    </row>
    <row r="76" spans="1:8">
      <c r="A76">
        <v>44.139000000000003</v>
      </c>
      <c r="B76" t="s">
        <v>436</v>
      </c>
      <c r="G76" s="115" t="s">
        <v>480</v>
      </c>
      <c r="H76" s="117"/>
    </row>
    <row r="77" spans="1:8">
      <c r="A77">
        <v>24.19</v>
      </c>
      <c r="B77" t="s">
        <v>435</v>
      </c>
      <c r="G77" s="67" t="s">
        <v>529</v>
      </c>
      <c r="H77" s="298">
        <f>_xlfn.NORM.S.INV(1-0.01/2)</f>
        <v>2.5758293035488999</v>
      </c>
    </row>
    <row r="78" spans="1:8">
      <c r="A78">
        <v>11.8</v>
      </c>
      <c r="B78" t="s">
        <v>435</v>
      </c>
      <c r="G78" s="67" t="s">
        <v>528</v>
      </c>
      <c r="H78" s="280">
        <f>H72*(1-H72)*H77^2/H73^2</f>
        <v>663.48966010212121</v>
      </c>
    </row>
    <row r="79" spans="1:8">
      <c r="A79">
        <v>41.859000000000002</v>
      </c>
      <c r="B79" t="s">
        <v>435</v>
      </c>
      <c r="G79" s="76"/>
      <c r="H79" s="75"/>
    </row>
    <row r="80" spans="1:8">
      <c r="A80">
        <v>35.222999999999999</v>
      </c>
      <c r="B80" t="s">
        <v>435</v>
      </c>
      <c r="G80" s="115" t="s">
        <v>527</v>
      </c>
      <c r="H80" s="117"/>
    </row>
    <row r="81" spans="1:8" ht="16" thickBot="1">
      <c r="A81">
        <v>58.381</v>
      </c>
      <c r="B81" t="s">
        <v>436</v>
      </c>
      <c r="G81" s="74" t="s">
        <v>526</v>
      </c>
      <c r="H81" s="73">
        <v>664</v>
      </c>
    </row>
    <row r="82" spans="1:8">
      <c r="A82">
        <v>33.25</v>
      </c>
      <c r="B82" t="s">
        <v>434</v>
      </c>
    </row>
    <row r="83" spans="1:8">
      <c r="A83">
        <v>70.576999999999998</v>
      </c>
      <c r="B83" t="s">
        <v>435</v>
      </c>
    </row>
    <row r="84" spans="1:8">
      <c r="A84">
        <v>37.936999999999998</v>
      </c>
      <c r="B84" t="s">
        <v>435</v>
      </c>
    </row>
    <row r="85" spans="1:8">
      <c r="A85">
        <v>83.709000000000003</v>
      </c>
      <c r="B85" t="s">
        <v>435</v>
      </c>
    </row>
    <row r="86" spans="1:8">
      <c r="A86">
        <v>54.889000000000003</v>
      </c>
      <c r="B86" t="s">
        <v>436</v>
      </c>
    </row>
    <row r="87" spans="1:8">
      <c r="A87">
        <v>59.725999999999999</v>
      </c>
      <c r="B87" t="s">
        <v>436</v>
      </c>
    </row>
    <row r="88" spans="1:8">
      <c r="A88">
        <v>32.404000000000003</v>
      </c>
      <c r="B88" t="s">
        <v>435</v>
      </c>
    </row>
    <row r="89" spans="1:8">
      <c r="A89">
        <v>67.697000000000003</v>
      </c>
      <c r="B89" t="s">
        <v>435</v>
      </c>
    </row>
    <row r="90" spans="1:8">
      <c r="A90">
        <v>73.944999999999993</v>
      </c>
      <c r="B90" t="s">
        <v>434</v>
      </c>
    </row>
    <row r="91" spans="1:8">
      <c r="A91">
        <v>43.927999999999997</v>
      </c>
      <c r="B91" t="s">
        <v>435</v>
      </c>
    </row>
    <row r="92" spans="1:8">
      <c r="A92">
        <v>61.006</v>
      </c>
      <c r="B92" t="s">
        <v>435</v>
      </c>
    </row>
    <row r="93" spans="1:8">
      <c r="A93">
        <v>35.479999999999997</v>
      </c>
      <c r="B93" t="s">
        <v>436</v>
      </c>
    </row>
    <row r="94" spans="1:8">
      <c r="A94">
        <v>68.980999999999995</v>
      </c>
      <c r="B94" t="s">
        <v>436</v>
      </c>
    </row>
    <row r="95" spans="1:8">
      <c r="A95">
        <v>43.146000000000001</v>
      </c>
      <c r="B95" t="s">
        <v>434</v>
      </c>
    </row>
    <row r="96" spans="1:8">
      <c r="A96">
        <v>78.716999999999999</v>
      </c>
      <c r="B96" t="s">
        <v>434</v>
      </c>
    </row>
    <row r="97" spans="1:2">
      <c r="A97">
        <v>25.960999999999999</v>
      </c>
      <c r="B97" t="s">
        <v>436</v>
      </c>
    </row>
    <row r="98" spans="1:2">
      <c r="A98">
        <v>84.213999999999999</v>
      </c>
      <c r="B98" t="s">
        <v>435</v>
      </c>
    </row>
    <row r="99" spans="1:2">
      <c r="A99">
        <v>44.106999999999999</v>
      </c>
      <c r="B99" t="s">
        <v>436</v>
      </c>
    </row>
    <row r="100" spans="1:2">
      <c r="A100">
        <v>66.272000000000006</v>
      </c>
      <c r="B100" t="s">
        <v>437</v>
      </c>
    </row>
    <row r="101" spans="1:2">
      <c r="A101">
        <v>61.655999999999999</v>
      </c>
      <c r="B101" t="s">
        <v>435</v>
      </c>
    </row>
    <row r="102" spans="1:2">
      <c r="A102">
        <v>62.750999999999998</v>
      </c>
      <c r="B102" t="s">
        <v>437</v>
      </c>
    </row>
    <row r="103" spans="1:2">
      <c r="A103">
        <v>67.902000000000001</v>
      </c>
      <c r="B103" t="s">
        <v>436</v>
      </c>
    </row>
    <row r="104" spans="1:2">
      <c r="A104">
        <v>26.847999999999999</v>
      </c>
      <c r="B104" t="s">
        <v>435</v>
      </c>
    </row>
    <row r="105" spans="1:2">
      <c r="A105">
        <v>70.77</v>
      </c>
      <c r="B105" t="s">
        <v>435</v>
      </c>
    </row>
    <row r="106" spans="1:2">
      <c r="A106">
        <v>60.732999999999997</v>
      </c>
      <c r="B106" t="s">
        <v>435</v>
      </c>
    </row>
    <row r="107" spans="1:2">
      <c r="A107">
        <v>40.055</v>
      </c>
      <c r="B107" t="s">
        <v>435</v>
      </c>
    </row>
    <row r="108" spans="1:2">
      <c r="A108">
        <v>105.56</v>
      </c>
      <c r="B108" t="s">
        <v>437</v>
      </c>
    </row>
    <row r="109" spans="1:2">
      <c r="A109">
        <v>76.233000000000004</v>
      </c>
      <c r="B109" t="s">
        <v>435</v>
      </c>
    </row>
    <row r="110" spans="1:2">
      <c r="A110">
        <v>66.096999999999994</v>
      </c>
      <c r="B110" t="s">
        <v>435</v>
      </c>
    </row>
    <row r="111" spans="1:2">
      <c r="A111">
        <v>23.646000000000001</v>
      </c>
      <c r="B111" t="s">
        <v>436</v>
      </c>
    </row>
    <row r="112" spans="1:2">
      <c r="A112">
        <v>27.632999999999999</v>
      </c>
      <c r="B112" t="s">
        <v>436</v>
      </c>
    </row>
    <row r="113" spans="1:2">
      <c r="A113">
        <v>83.396000000000001</v>
      </c>
      <c r="B113" t="s">
        <v>434</v>
      </c>
    </row>
    <row r="114" spans="1:2">
      <c r="A114">
        <v>56.95</v>
      </c>
      <c r="B114" t="s">
        <v>437</v>
      </c>
    </row>
    <row r="115" spans="1:2">
      <c r="A115">
        <v>25.79</v>
      </c>
      <c r="B115" t="s">
        <v>435</v>
      </c>
    </row>
    <row r="116" spans="1:2">
      <c r="A116">
        <v>27.190999999999999</v>
      </c>
      <c r="B116" t="s">
        <v>436</v>
      </c>
    </row>
    <row r="117" spans="1:2">
      <c r="A117">
        <v>60.615000000000002</v>
      </c>
      <c r="B117" t="s">
        <v>434</v>
      </c>
    </row>
    <row r="118" spans="1:2">
      <c r="A118">
        <v>16.399999999999999</v>
      </c>
      <c r="B118" t="s">
        <v>435</v>
      </c>
    </row>
    <row r="119" spans="1:2">
      <c r="A119">
        <v>64.406000000000006</v>
      </c>
      <c r="B119" t="s">
        <v>436</v>
      </c>
    </row>
    <row r="120" spans="1:2">
      <c r="A120">
        <v>79.677999999999997</v>
      </c>
      <c r="B120" t="s">
        <v>437</v>
      </c>
    </row>
    <row r="121" spans="1:2">
      <c r="A121">
        <v>74.650999999999996</v>
      </c>
      <c r="B121" t="s">
        <v>434</v>
      </c>
    </row>
    <row r="122" spans="1:2">
      <c r="A122">
        <v>86.753</v>
      </c>
      <c r="B122" t="s">
        <v>435</v>
      </c>
    </row>
    <row r="123" spans="1:2">
      <c r="A123">
        <v>31.524999999999999</v>
      </c>
      <c r="B123" t="s">
        <v>436</v>
      </c>
    </row>
    <row r="124" spans="1:2">
      <c r="A124">
        <v>34.079000000000001</v>
      </c>
      <c r="B124" t="s">
        <v>435</v>
      </c>
    </row>
    <row r="125" spans="1:2">
      <c r="A125">
        <v>9.74</v>
      </c>
      <c r="B125" t="s">
        <v>436</v>
      </c>
    </row>
    <row r="126" spans="1:2">
      <c r="A126">
        <v>55.662999999999997</v>
      </c>
      <c r="B126" t="s">
        <v>435</v>
      </c>
    </row>
    <row r="127" spans="1:2">
      <c r="A127">
        <v>58.087000000000003</v>
      </c>
      <c r="B127" t="s">
        <v>434</v>
      </c>
    </row>
    <row r="128" spans="1:2">
      <c r="A128">
        <v>45.101999999999997</v>
      </c>
      <c r="B128" t="s">
        <v>435</v>
      </c>
    </row>
    <row r="129" spans="1:2">
      <c r="A129">
        <v>54.357999999999997</v>
      </c>
      <c r="B129" t="s">
        <v>436</v>
      </c>
    </row>
    <row r="130" spans="1:2">
      <c r="A130">
        <v>72.251999999999995</v>
      </c>
      <c r="B130" t="s">
        <v>435</v>
      </c>
    </row>
    <row r="131" spans="1:2">
      <c r="A131">
        <v>16.61</v>
      </c>
      <c r="B131" t="s">
        <v>435</v>
      </c>
    </row>
    <row r="132" spans="1:2">
      <c r="A132">
        <v>21.760999999999999</v>
      </c>
      <c r="B132" t="s">
        <v>434</v>
      </c>
    </row>
    <row r="133" spans="1:2">
      <c r="A133">
        <v>79.548000000000002</v>
      </c>
      <c r="B133" t="s">
        <v>434</v>
      </c>
    </row>
    <row r="134" spans="1:2">
      <c r="A134">
        <v>29.475999999999999</v>
      </c>
      <c r="B134" t="s">
        <v>435</v>
      </c>
    </row>
    <row r="135" spans="1:2">
      <c r="A135">
        <v>16.651</v>
      </c>
      <c r="B135" t="s">
        <v>434</v>
      </c>
    </row>
    <row r="136" spans="1:2">
      <c r="A136">
        <v>39.646999999999998</v>
      </c>
      <c r="B136" t="s">
        <v>436</v>
      </c>
    </row>
    <row r="137" spans="1:2">
      <c r="A137">
        <v>69.522999999999996</v>
      </c>
      <c r="B137" t="s">
        <v>437</v>
      </c>
    </row>
    <row r="138" spans="1:2">
      <c r="A138">
        <v>76.668000000000006</v>
      </c>
      <c r="B138" t="s">
        <v>435</v>
      </c>
    </row>
    <row r="139" spans="1:2">
      <c r="A139">
        <v>137.63999999999999</v>
      </c>
      <c r="B139" t="s">
        <v>436</v>
      </c>
    </row>
    <row r="140" spans="1:2">
      <c r="A140">
        <v>63.89</v>
      </c>
      <c r="B140" t="s">
        <v>435</v>
      </c>
    </row>
    <row r="141" spans="1:2">
      <c r="A141">
        <v>72.155000000000001</v>
      </c>
      <c r="B141" t="s">
        <v>435</v>
      </c>
    </row>
    <row r="142" spans="1:2">
      <c r="A142">
        <v>30.177</v>
      </c>
      <c r="B142" t="s">
        <v>434</v>
      </c>
    </row>
    <row r="143" spans="1:2">
      <c r="A143">
        <v>49.253</v>
      </c>
      <c r="B143" t="s">
        <v>435</v>
      </c>
    </row>
    <row r="144" spans="1:2">
      <c r="A144">
        <v>85.275999999999996</v>
      </c>
      <c r="B144" t="s">
        <v>434</v>
      </c>
    </row>
    <row r="145" spans="1:2">
      <c r="A145">
        <v>45.779000000000003</v>
      </c>
      <c r="B145" t="s">
        <v>436</v>
      </c>
    </row>
    <row r="146" spans="1:2">
      <c r="A146">
        <v>56.048000000000002</v>
      </c>
      <c r="B146" t="s">
        <v>437</v>
      </c>
    </row>
    <row r="147" spans="1:2">
      <c r="A147">
        <v>40.249000000000002</v>
      </c>
      <c r="B147" t="s">
        <v>436</v>
      </c>
    </row>
    <row r="148" spans="1:2">
      <c r="A148">
        <v>88.394000000000005</v>
      </c>
      <c r="B148" t="s">
        <v>435</v>
      </c>
    </row>
    <row r="149" spans="1:2">
      <c r="A149">
        <v>49.506</v>
      </c>
      <c r="B149" t="s">
        <v>434</v>
      </c>
    </row>
    <row r="150" spans="1:2">
      <c r="A150">
        <v>62.095999999999997</v>
      </c>
      <c r="B150" t="s">
        <v>436</v>
      </c>
    </row>
    <row r="151" spans="1:2">
      <c r="A151">
        <v>92.180999999999997</v>
      </c>
      <c r="B151" t="s">
        <v>434</v>
      </c>
    </row>
    <row r="152" spans="1:2">
      <c r="A152">
        <v>45.167000000000002</v>
      </c>
      <c r="B152" t="s">
        <v>435</v>
      </c>
    </row>
    <row r="153" spans="1:2">
      <c r="A153">
        <v>86.382999999999996</v>
      </c>
      <c r="B153" t="s">
        <v>437</v>
      </c>
    </row>
    <row r="154" spans="1:2">
      <c r="A154">
        <v>29.419</v>
      </c>
      <c r="B154" t="s">
        <v>436</v>
      </c>
    </row>
    <row r="155" spans="1:2">
      <c r="A155">
        <v>70.506</v>
      </c>
      <c r="B155" t="s">
        <v>435</v>
      </c>
    </row>
    <row r="156" spans="1:2">
      <c r="A156">
        <v>93.763999999999996</v>
      </c>
      <c r="B156" t="s">
        <v>435</v>
      </c>
    </row>
    <row r="157" spans="1:2">
      <c r="A157">
        <v>6.0190000000000001</v>
      </c>
      <c r="B157" t="s">
        <v>434</v>
      </c>
    </row>
    <row r="158" spans="1:2">
      <c r="A158">
        <v>87.414000000000001</v>
      </c>
      <c r="B158" t="s">
        <v>435</v>
      </c>
    </row>
    <row r="159" spans="1:2">
      <c r="A159">
        <v>61.896000000000001</v>
      </c>
      <c r="B159" t="s">
        <v>434</v>
      </c>
    </row>
    <row r="160" spans="1:2">
      <c r="A160">
        <v>80.953999999999994</v>
      </c>
      <c r="B160" t="s">
        <v>435</v>
      </c>
    </row>
    <row r="161" spans="1:2">
      <c r="A161">
        <v>41.207999999999998</v>
      </c>
      <c r="B161" t="s">
        <v>435</v>
      </c>
    </row>
    <row r="162" spans="1:2">
      <c r="A162">
        <v>18.265000000000001</v>
      </c>
      <c r="B162" t="s">
        <v>434</v>
      </c>
    </row>
    <row r="163" spans="1:2">
      <c r="A163">
        <v>55.404000000000003</v>
      </c>
      <c r="B163" t="s">
        <v>435</v>
      </c>
    </row>
    <row r="164" spans="1:2">
      <c r="A164">
        <v>61.651000000000003</v>
      </c>
      <c r="B164" t="s">
        <v>435</v>
      </c>
    </row>
    <row r="165" spans="1:2">
      <c r="A165">
        <v>83.631</v>
      </c>
      <c r="B165" t="s">
        <v>437</v>
      </c>
    </row>
    <row r="166" spans="1:2">
      <c r="A166">
        <v>134.34700000000001</v>
      </c>
      <c r="B166" t="s">
        <v>435</v>
      </c>
    </row>
    <row r="167" spans="1:2">
      <c r="A167">
        <v>26.457999999999998</v>
      </c>
      <c r="B167" t="s">
        <v>436</v>
      </c>
    </row>
    <row r="168" spans="1:2">
      <c r="A168">
        <v>61.62</v>
      </c>
      <c r="B168" t="s">
        <v>434</v>
      </c>
    </row>
    <row r="169" spans="1:2">
      <c r="A169">
        <v>26.295999999999999</v>
      </c>
      <c r="B169" t="s">
        <v>435</v>
      </c>
    </row>
    <row r="170" spans="1:2">
      <c r="A170">
        <v>39.817</v>
      </c>
      <c r="B170" t="s">
        <v>435</v>
      </c>
    </row>
    <row r="171" spans="1:2">
      <c r="A171">
        <v>88.3</v>
      </c>
      <c r="B171" t="s">
        <v>435</v>
      </c>
    </row>
    <row r="172" spans="1:2">
      <c r="A172">
        <v>78.733000000000004</v>
      </c>
      <c r="B172" t="s">
        <v>435</v>
      </c>
    </row>
    <row r="173" spans="1:2">
      <c r="A173">
        <v>28.933</v>
      </c>
      <c r="B173" t="s">
        <v>435</v>
      </c>
    </row>
    <row r="174" spans="1:2">
      <c r="A174">
        <v>73.225999999999999</v>
      </c>
      <c r="B174" t="s">
        <v>435</v>
      </c>
    </row>
    <row r="175" spans="1:2">
      <c r="A175">
        <v>49.207000000000001</v>
      </c>
      <c r="B175" t="s">
        <v>435</v>
      </c>
    </row>
    <row r="176" spans="1:2">
      <c r="A176">
        <v>31.866</v>
      </c>
      <c r="B176" t="s">
        <v>434</v>
      </c>
    </row>
    <row r="177" spans="1:2">
      <c r="A177">
        <v>7.6269999999999998</v>
      </c>
      <c r="B177" t="s">
        <v>435</v>
      </c>
    </row>
    <row r="178" spans="1:2">
      <c r="A178">
        <v>5.6929999999999996</v>
      </c>
      <c r="B178" t="s">
        <v>435</v>
      </c>
    </row>
    <row r="179" spans="1:2">
      <c r="A179">
        <v>45.558999999999997</v>
      </c>
      <c r="B179" t="s">
        <v>434</v>
      </c>
    </row>
    <row r="180" spans="1:2">
      <c r="A180">
        <v>40.588000000000001</v>
      </c>
      <c r="B180" t="s">
        <v>437</v>
      </c>
    </row>
    <row r="181" spans="1:2">
      <c r="A181">
        <v>74.736000000000004</v>
      </c>
      <c r="B181" t="s">
        <v>434</v>
      </c>
    </row>
    <row r="182" spans="1:2">
      <c r="A182">
        <v>42.247999999999998</v>
      </c>
      <c r="B182" t="s">
        <v>434</v>
      </c>
    </row>
    <row r="183" spans="1:2">
      <c r="A183">
        <v>44.661999999999999</v>
      </c>
      <c r="B183" t="s">
        <v>436</v>
      </c>
    </row>
    <row r="184" spans="1:2">
      <c r="A184">
        <v>45.543999999999997</v>
      </c>
      <c r="B184" t="s">
        <v>436</v>
      </c>
    </row>
    <row r="185" spans="1:2">
      <c r="A185">
        <v>16.702999999999999</v>
      </c>
      <c r="B185" t="s">
        <v>435</v>
      </c>
    </row>
    <row r="186" spans="1:2">
      <c r="A186">
        <v>31.026</v>
      </c>
      <c r="B186" t="s">
        <v>435</v>
      </c>
    </row>
    <row r="187" spans="1:2">
      <c r="A187">
        <v>75.802000000000007</v>
      </c>
      <c r="B187" t="s">
        <v>434</v>
      </c>
    </row>
    <row r="188" spans="1:2">
      <c r="A188">
        <v>56.418999999999997</v>
      </c>
      <c r="B188" t="s">
        <v>435</v>
      </c>
    </row>
    <row r="189" spans="1:2">
      <c r="A189">
        <v>85.94</v>
      </c>
      <c r="B189" t="s">
        <v>436</v>
      </c>
    </row>
    <row r="190" spans="1:2">
      <c r="A190">
        <v>11.473000000000001</v>
      </c>
      <c r="B190" t="s">
        <v>435</v>
      </c>
    </row>
    <row r="191" spans="1:2">
      <c r="A191">
        <v>53.555999999999997</v>
      </c>
      <c r="B191" t="s">
        <v>435</v>
      </c>
    </row>
    <row r="192" spans="1:2">
      <c r="A192">
        <v>32.177</v>
      </c>
      <c r="B192" t="s">
        <v>437</v>
      </c>
    </row>
    <row r="193" spans="1:2">
      <c r="A193">
        <v>21.138000000000002</v>
      </c>
      <c r="B193" t="s">
        <v>436</v>
      </c>
    </row>
    <row r="194" spans="1:2">
      <c r="A194">
        <v>15.818</v>
      </c>
      <c r="B194" t="s">
        <v>436</v>
      </c>
    </row>
    <row r="195" spans="1:2">
      <c r="A195">
        <v>22.971</v>
      </c>
      <c r="B195" t="s">
        <v>435</v>
      </c>
    </row>
    <row r="196" spans="1:2">
      <c r="A196">
        <v>84.477999999999994</v>
      </c>
      <c r="B196" t="s">
        <v>434</v>
      </c>
    </row>
    <row r="197" spans="1:2">
      <c r="A197">
        <v>21.079000000000001</v>
      </c>
      <c r="B197" t="s">
        <v>434</v>
      </c>
    </row>
    <row r="198" spans="1:2">
      <c r="A198">
        <v>46.56</v>
      </c>
      <c r="B198" t="s">
        <v>436</v>
      </c>
    </row>
    <row r="199" spans="1:2">
      <c r="A199">
        <v>74.834000000000003</v>
      </c>
      <c r="B199" t="s">
        <v>434</v>
      </c>
    </row>
    <row r="200" spans="1:2">
      <c r="A200">
        <v>70.63</v>
      </c>
      <c r="B200" t="s">
        <v>434</v>
      </c>
    </row>
    <row r="201" spans="1:2">
      <c r="A201">
        <v>7.8840000000000003</v>
      </c>
      <c r="B201" t="s">
        <v>436</v>
      </c>
    </row>
    <row r="202" spans="1:2">
      <c r="A202">
        <v>58.735999999999997</v>
      </c>
      <c r="B202" t="s">
        <v>435</v>
      </c>
    </row>
    <row r="203" spans="1:2">
      <c r="A203">
        <v>44.814999999999998</v>
      </c>
      <c r="B203" t="s">
        <v>437</v>
      </c>
    </row>
    <row r="204" spans="1:2">
      <c r="A204">
        <v>52.963999999999999</v>
      </c>
      <c r="B204" t="s">
        <v>435</v>
      </c>
    </row>
    <row r="205" spans="1:2">
      <c r="A205">
        <v>47.540999999999997</v>
      </c>
      <c r="B205" t="s">
        <v>435</v>
      </c>
    </row>
    <row r="206" spans="1:2">
      <c r="A206">
        <v>75.210999999999999</v>
      </c>
      <c r="B206" t="s">
        <v>436</v>
      </c>
    </row>
    <row r="207" spans="1:2">
      <c r="A207">
        <v>64.042000000000002</v>
      </c>
      <c r="B207" t="s">
        <v>434</v>
      </c>
    </row>
    <row r="208" spans="1:2">
      <c r="A208">
        <v>54.698</v>
      </c>
      <c r="B208" t="s">
        <v>437</v>
      </c>
    </row>
    <row r="209" spans="1:2">
      <c r="A209">
        <v>58.173000000000002</v>
      </c>
      <c r="B209" t="s">
        <v>436</v>
      </c>
    </row>
    <row r="210" spans="1:2">
      <c r="A210">
        <v>75.878</v>
      </c>
      <c r="B210" t="s">
        <v>436</v>
      </c>
    </row>
    <row r="211" spans="1:2">
      <c r="A211">
        <v>34.79</v>
      </c>
      <c r="B211" t="s">
        <v>435</v>
      </c>
    </row>
    <row r="212" spans="1:2">
      <c r="A212">
        <v>50.582999999999998</v>
      </c>
      <c r="B212" t="s">
        <v>434</v>
      </c>
    </row>
    <row r="213" spans="1:2">
      <c r="A213">
        <v>32.595999999999997</v>
      </c>
      <c r="B213" t="s">
        <v>437</v>
      </c>
    </row>
    <row r="214" spans="1:2">
      <c r="A214">
        <v>61.811999999999998</v>
      </c>
      <c r="B214" t="s">
        <v>434</v>
      </c>
    </row>
    <row r="215" spans="1:2">
      <c r="A215">
        <v>50.414000000000001</v>
      </c>
      <c r="B215" t="s">
        <v>437</v>
      </c>
    </row>
    <row r="216" spans="1:2">
      <c r="A216">
        <v>46.179000000000002</v>
      </c>
      <c r="B216" t="s">
        <v>436</v>
      </c>
    </row>
    <row r="217" spans="1:2">
      <c r="A217">
        <v>41.563000000000002</v>
      </c>
      <c r="B217" t="s">
        <v>435</v>
      </c>
    </row>
    <row r="218" spans="1:2">
      <c r="A218">
        <v>90.54</v>
      </c>
      <c r="B218" t="s">
        <v>436</v>
      </c>
    </row>
    <row r="219" spans="1:2">
      <c r="A219">
        <v>93.213999999999999</v>
      </c>
      <c r="B219" t="s">
        <v>435</v>
      </c>
    </row>
    <row r="220" spans="1:2">
      <c r="A220">
        <v>68.881</v>
      </c>
      <c r="B220" t="s">
        <v>435</v>
      </c>
    </row>
    <row r="221" spans="1:2">
      <c r="A221">
        <v>22.989000000000001</v>
      </c>
      <c r="B221" t="s">
        <v>437</v>
      </c>
    </row>
    <row r="222" spans="1:2">
      <c r="A222">
        <v>59.466999999999999</v>
      </c>
      <c r="B222" t="s">
        <v>436</v>
      </c>
    </row>
    <row r="223" spans="1:2">
      <c r="A223">
        <v>82.37</v>
      </c>
      <c r="B223" t="s">
        <v>435</v>
      </c>
    </row>
    <row r="224" spans="1:2">
      <c r="A224">
        <v>69.116</v>
      </c>
      <c r="B224" t="s">
        <v>437</v>
      </c>
    </row>
    <row r="225" spans="1:2">
      <c r="A225">
        <v>66.632999999999996</v>
      </c>
      <c r="B225" t="s">
        <v>436</v>
      </c>
    </row>
    <row r="226" spans="1:2">
      <c r="A226">
        <v>19.917000000000002</v>
      </c>
      <c r="B226" t="s">
        <v>436</v>
      </c>
    </row>
    <row r="227" spans="1:2">
      <c r="A227">
        <v>34.683999999999997</v>
      </c>
      <c r="B227" t="s">
        <v>437</v>
      </c>
    </row>
    <row r="228" spans="1:2">
      <c r="A228">
        <v>29.614000000000001</v>
      </c>
      <c r="B228" t="s">
        <v>435</v>
      </c>
    </row>
    <row r="229" spans="1:2">
      <c r="A229">
        <v>17.690999999999999</v>
      </c>
      <c r="B229" t="s">
        <v>435</v>
      </c>
    </row>
    <row r="230" spans="1:2">
      <c r="A230">
        <v>8.702</v>
      </c>
      <c r="B230" t="s">
        <v>435</v>
      </c>
    </row>
    <row r="231" spans="1:2">
      <c r="A231">
        <v>53.198</v>
      </c>
      <c r="B231" t="s">
        <v>436</v>
      </c>
    </row>
    <row r="232" spans="1:2">
      <c r="A232">
        <v>59.451999999999998</v>
      </c>
      <c r="B232" t="s">
        <v>434</v>
      </c>
    </row>
    <row r="233" spans="1:2">
      <c r="A233">
        <v>37.430999999999997</v>
      </c>
      <c r="B233" t="s">
        <v>437</v>
      </c>
    </row>
    <row r="234" spans="1:2">
      <c r="A234">
        <v>48.484999999999999</v>
      </c>
      <c r="B234" t="s">
        <v>435</v>
      </c>
    </row>
    <row r="235" spans="1:2">
      <c r="A235">
        <v>48.764000000000003</v>
      </c>
      <c r="B235" t="s">
        <v>436</v>
      </c>
    </row>
    <row r="236" spans="1:2">
      <c r="A236">
        <v>77.566999999999993</v>
      </c>
      <c r="B236" t="s">
        <v>436</v>
      </c>
    </row>
    <row r="237" spans="1:2">
      <c r="A237">
        <v>88.251000000000005</v>
      </c>
      <c r="B237" t="s">
        <v>435</v>
      </c>
    </row>
    <row r="238" spans="1:2">
      <c r="A238">
        <v>29.036999999999999</v>
      </c>
      <c r="B238" t="s">
        <v>436</v>
      </c>
    </row>
    <row r="239" spans="1:2">
      <c r="A239">
        <v>41.875999999999998</v>
      </c>
      <c r="B239" t="s">
        <v>435</v>
      </c>
    </row>
    <row r="240" spans="1:2">
      <c r="A240">
        <v>43.820999999999998</v>
      </c>
      <c r="B240" t="s">
        <v>435</v>
      </c>
    </row>
    <row r="241" spans="1:2">
      <c r="A241">
        <v>78.427000000000007</v>
      </c>
      <c r="B241" t="s">
        <v>434</v>
      </c>
    </row>
    <row r="242" spans="1:2">
      <c r="A242">
        <v>49.826000000000001</v>
      </c>
      <c r="B242" t="s">
        <v>437</v>
      </c>
    </row>
    <row r="243" spans="1:2">
      <c r="A243">
        <v>83.674999999999997</v>
      </c>
      <c r="B243" t="s">
        <v>435</v>
      </c>
    </row>
    <row r="244" spans="1:2">
      <c r="A244">
        <v>46.741999999999997</v>
      </c>
      <c r="B244" t="s">
        <v>434</v>
      </c>
    </row>
    <row r="245" spans="1:2">
      <c r="A245">
        <v>77.100999999999999</v>
      </c>
      <c r="B245" t="s">
        <v>435</v>
      </c>
    </row>
    <row r="246" spans="1:2">
      <c r="A246">
        <v>51.88</v>
      </c>
      <c r="B246" t="s">
        <v>436</v>
      </c>
    </row>
    <row r="247" spans="1:2">
      <c r="A247">
        <v>81.266000000000005</v>
      </c>
      <c r="B247" t="s">
        <v>435</v>
      </c>
    </row>
    <row r="248" spans="1:2">
      <c r="A248">
        <v>31.344999999999999</v>
      </c>
      <c r="B248" t="s">
        <v>437</v>
      </c>
    </row>
    <row r="249" spans="1:2">
      <c r="A249">
        <v>81.611000000000004</v>
      </c>
      <c r="B249" t="s">
        <v>436</v>
      </c>
    </row>
    <row r="250" spans="1:2">
      <c r="A250">
        <v>49.843000000000004</v>
      </c>
      <c r="B250" t="s">
        <v>437</v>
      </c>
    </row>
    <row r="251" spans="1:2">
      <c r="A251">
        <v>19.718</v>
      </c>
      <c r="B251" t="s">
        <v>436</v>
      </c>
    </row>
    <row r="252" spans="1:2">
      <c r="A252">
        <v>27.7</v>
      </c>
      <c r="B252" t="s">
        <v>436</v>
      </c>
    </row>
    <row r="253" spans="1:2">
      <c r="A253">
        <v>45.447000000000003</v>
      </c>
      <c r="B253" t="s">
        <v>435</v>
      </c>
    </row>
    <row r="254" spans="1:2">
      <c r="A254">
        <v>62.951999999999998</v>
      </c>
      <c r="B254" t="s">
        <v>437</v>
      </c>
    </row>
    <row r="255" spans="1:2">
      <c r="A255">
        <v>39.926000000000002</v>
      </c>
      <c r="B255" t="s">
        <v>435</v>
      </c>
    </row>
    <row r="256" spans="1:2">
      <c r="A256">
        <v>26.83</v>
      </c>
      <c r="B256" t="s">
        <v>436</v>
      </c>
    </row>
    <row r="257" spans="1:2">
      <c r="A257">
        <v>47.259</v>
      </c>
      <c r="B257" t="s">
        <v>435</v>
      </c>
    </row>
    <row r="258" spans="1:2">
      <c r="A258">
        <v>63.597999999999999</v>
      </c>
      <c r="B258" t="s">
        <v>434</v>
      </c>
    </row>
    <row r="259" spans="1:2">
      <c r="A259">
        <v>61.579000000000001</v>
      </c>
      <c r="B259" t="s">
        <v>434</v>
      </c>
    </row>
    <row r="260" spans="1:2">
      <c r="A260">
        <v>78.978999999999999</v>
      </c>
      <c r="B260" t="s">
        <v>434</v>
      </c>
    </row>
    <row r="261" spans="1:2">
      <c r="A261">
        <v>78.134</v>
      </c>
      <c r="B261" t="s">
        <v>435</v>
      </c>
    </row>
    <row r="262" spans="1:2">
      <c r="A262">
        <v>14.388999999999999</v>
      </c>
      <c r="B262" t="s">
        <v>436</v>
      </c>
    </row>
    <row r="263" spans="1:2">
      <c r="A263">
        <v>34.430999999999997</v>
      </c>
      <c r="B263" t="s">
        <v>435</v>
      </c>
    </row>
    <row r="264" spans="1:2">
      <c r="A264">
        <v>73.447000000000003</v>
      </c>
      <c r="B264" t="s">
        <v>436</v>
      </c>
    </row>
    <row r="265" spans="1:2">
      <c r="A265">
        <v>108.227</v>
      </c>
      <c r="B265" t="s">
        <v>434</v>
      </c>
    </row>
    <row r="266" spans="1:2">
      <c r="A266">
        <v>68.197999999999993</v>
      </c>
      <c r="B266" t="s">
        <v>436</v>
      </c>
    </row>
    <row r="267" spans="1:2">
      <c r="A267">
        <v>48.252000000000002</v>
      </c>
      <c r="B267" t="s">
        <v>435</v>
      </c>
    </row>
    <row r="268" spans="1:2">
      <c r="A268">
        <v>67.492999999999995</v>
      </c>
      <c r="B268" t="s">
        <v>435</v>
      </c>
    </row>
    <row r="269" spans="1:2">
      <c r="A269">
        <v>8.6549999999999994</v>
      </c>
      <c r="B269" t="s">
        <v>435</v>
      </c>
    </row>
    <row r="270" spans="1:2">
      <c r="A270">
        <v>122.913</v>
      </c>
      <c r="B270" t="s">
        <v>436</v>
      </c>
    </row>
    <row r="271" spans="1:2">
      <c r="A271">
        <v>81.756</v>
      </c>
      <c r="B271" t="s">
        <v>436</v>
      </c>
    </row>
    <row r="272" spans="1:2">
      <c r="A272">
        <v>76.995999999999995</v>
      </c>
      <c r="B272" t="s">
        <v>437</v>
      </c>
    </row>
    <row r="273" spans="1:2">
      <c r="A273">
        <v>40.551000000000002</v>
      </c>
      <c r="B273" t="s">
        <v>435</v>
      </c>
    </row>
    <row r="274" spans="1:2">
      <c r="A274">
        <v>56.929000000000002</v>
      </c>
      <c r="B274" t="s">
        <v>436</v>
      </c>
    </row>
    <row r="275" spans="1:2">
      <c r="A275">
        <v>58.874000000000002</v>
      </c>
      <c r="B275" t="s">
        <v>435</v>
      </c>
    </row>
    <row r="276" spans="1:2">
      <c r="A276">
        <v>10.159000000000001</v>
      </c>
      <c r="B276" t="s">
        <v>435</v>
      </c>
    </row>
    <row r="277" spans="1:2">
      <c r="A277">
        <v>37.042999999999999</v>
      </c>
      <c r="B277" t="s">
        <v>435</v>
      </c>
    </row>
    <row r="278" spans="1:2">
      <c r="A278">
        <v>53.613</v>
      </c>
      <c r="B278" t="s">
        <v>434</v>
      </c>
    </row>
    <row r="279" spans="1:2">
      <c r="A279">
        <v>46.360999999999997</v>
      </c>
      <c r="B279" t="s">
        <v>436</v>
      </c>
    </row>
    <row r="280" spans="1:2">
      <c r="A280">
        <v>55.649000000000001</v>
      </c>
      <c r="B280" t="s">
        <v>435</v>
      </c>
    </row>
    <row r="281" spans="1:2">
      <c r="A281">
        <v>32.064999999999998</v>
      </c>
      <c r="B281" t="s">
        <v>435</v>
      </c>
    </row>
    <row r="282" spans="1:2">
      <c r="A282">
        <v>8.5210000000000008</v>
      </c>
      <c r="B282" t="s">
        <v>435</v>
      </c>
    </row>
    <row r="283" spans="1:2">
      <c r="A283">
        <v>31.047999999999998</v>
      </c>
      <c r="B283" t="s">
        <v>435</v>
      </c>
    </row>
    <row r="284" spans="1:2">
      <c r="A284">
        <v>15.81</v>
      </c>
      <c r="B284" t="s">
        <v>435</v>
      </c>
    </row>
    <row r="285" spans="1:2">
      <c r="A285">
        <v>52.011000000000003</v>
      </c>
      <c r="B285" t="s">
        <v>437</v>
      </c>
    </row>
    <row r="286" spans="1:2">
      <c r="A286">
        <v>19.332999999999998</v>
      </c>
      <c r="B286" t="s">
        <v>435</v>
      </c>
    </row>
    <row r="287" spans="1:2">
      <c r="A287">
        <v>22.359000000000002</v>
      </c>
      <c r="B287" t="s">
        <v>436</v>
      </c>
    </row>
    <row r="288" spans="1:2">
      <c r="A288">
        <v>23.946000000000002</v>
      </c>
      <c r="B288" t="s">
        <v>435</v>
      </c>
    </row>
    <row r="289" spans="1:2">
      <c r="A289">
        <v>49.584000000000003</v>
      </c>
      <c r="B289" t="s">
        <v>436</v>
      </c>
    </row>
    <row r="290" spans="1:2">
      <c r="A290">
        <v>17.37</v>
      </c>
      <c r="B290" t="s">
        <v>436</v>
      </c>
    </row>
    <row r="291" spans="1:2">
      <c r="A291">
        <v>37.393000000000001</v>
      </c>
      <c r="B291" t="s">
        <v>435</v>
      </c>
    </row>
    <row r="292" spans="1:2">
      <c r="A292">
        <v>79.382000000000005</v>
      </c>
      <c r="B292" t="s">
        <v>435</v>
      </c>
    </row>
    <row r="293" spans="1:2">
      <c r="A293">
        <v>48.103000000000002</v>
      </c>
      <c r="B293" t="s">
        <v>435</v>
      </c>
    </row>
    <row r="294" spans="1:2">
      <c r="A294">
        <v>33.335999999999999</v>
      </c>
      <c r="B294" t="s">
        <v>435</v>
      </c>
    </row>
    <row r="295" spans="1:2">
      <c r="A295">
        <v>80.941000000000003</v>
      </c>
      <c r="B295" t="s">
        <v>434</v>
      </c>
    </row>
    <row r="296" spans="1:2">
      <c r="A296">
        <v>38.837000000000003</v>
      </c>
      <c r="B296" t="s">
        <v>436</v>
      </c>
    </row>
    <row r="297" spans="1:2">
      <c r="A297">
        <v>80.108999999999995</v>
      </c>
      <c r="B297" t="s">
        <v>434</v>
      </c>
    </row>
    <row r="298" spans="1:2">
      <c r="A298">
        <v>84.346000000000004</v>
      </c>
      <c r="B298" t="s">
        <v>435</v>
      </c>
    </row>
    <row r="299" spans="1:2">
      <c r="A299">
        <v>38.698</v>
      </c>
      <c r="B299" t="s">
        <v>436</v>
      </c>
    </row>
    <row r="300" spans="1:2">
      <c r="A300">
        <v>53.28</v>
      </c>
      <c r="B300" t="s">
        <v>436</v>
      </c>
    </row>
    <row r="301" spans="1:2">
      <c r="A301">
        <v>66.981999999999999</v>
      </c>
      <c r="B301" t="s">
        <v>435</v>
      </c>
    </row>
    <row r="302" spans="1:2">
      <c r="A302">
        <v>21.126999999999999</v>
      </c>
      <c r="B302" t="s">
        <v>434</v>
      </c>
    </row>
    <row r="303" spans="1:2">
      <c r="A303">
        <v>21.079000000000001</v>
      </c>
      <c r="B303" t="s">
        <v>434</v>
      </c>
    </row>
    <row r="304" spans="1:2">
      <c r="A304">
        <v>14.46</v>
      </c>
      <c r="B304" t="s">
        <v>435</v>
      </c>
    </row>
    <row r="305" spans="1:2">
      <c r="A305">
        <v>39.276000000000003</v>
      </c>
      <c r="B305" t="s">
        <v>434</v>
      </c>
    </row>
    <row r="306" spans="1:2">
      <c r="A306">
        <v>89.844999999999999</v>
      </c>
      <c r="B306" t="s">
        <v>435</v>
      </c>
    </row>
    <row r="307" spans="1:2">
      <c r="A307">
        <v>75.736000000000004</v>
      </c>
      <c r="B307" t="s">
        <v>434</v>
      </c>
    </row>
    <row r="308" spans="1:2">
      <c r="A308">
        <v>38.142000000000003</v>
      </c>
      <c r="B308" t="s">
        <v>436</v>
      </c>
    </row>
    <row r="309" spans="1:2">
      <c r="A309">
        <v>7.3719999999999999</v>
      </c>
      <c r="B309" t="s">
        <v>436</v>
      </c>
    </row>
    <row r="310" spans="1:2">
      <c r="A310">
        <v>54.445999999999998</v>
      </c>
      <c r="B310" t="s">
        <v>434</v>
      </c>
    </row>
    <row r="311" spans="1:2">
      <c r="A311">
        <v>73.381</v>
      </c>
      <c r="B311" t="s">
        <v>436</v>
      </c>
    </row>
    <row r="312" spans="1:2">
      <c r="A312">
        <v>88.269000000000005</v>
      </c>
      <c r="B312" t="s">
        <v>435</v>
      </c>
    </row>
    <row r="313" spans="1:2">
      <c r="A313">
        <v>52.216000000000001</v>
      </c>
      <c r="B313" t="s">
        <v>435</v>
      </c>
    </row>
    <row r="314" spans="1:2">
      <c r="A314">
        <v>65.174000000000007</v>
      </c>
      <c r="B314" t="s">
        <v>435</v>
      </c>
    </row>
    <row r="315" spans="1:2">
      <c r="A315">
        <v>12.454000000000001</v>
      </c>
      <c r="B315" t="s">
        <v>435</v>
      </c>
    </row>
    <row r="316" spans="1:2">
      <c r="A316">
        <v>30.308</v>
      </c>
      <c r="B316" t="s">
        <v>434</v>
      </c>
    </row>
    <row r="317" spans="1:2">
      <c r="A317">
        <v>21.396000000000001</v>
      </c>
      <c r="B317" t="s">
        <v>435</v>
      </c>
    </row>
    <row r="318" spans="1:2">
      <c r="A318">
        <v>28.696999999999999</v>
      </c>
      <c r="B318" t="s">
        <v>435</v>
      </c>
    </row>
    <row r="319" spans="1:2">
      <c r="A319">
        <v>108.714</v>
      </c>
      <c r="B319" t="s">
        <v>436</v>
      </c>
    </row>
    <row r="320" spans="1:2">
      <c r="A320">
        <v>41.234999999999999</v>
      </c>
      <c r="B320" t="s">
        <v>436</v>
      </c>
    </row>
    <row r="321" spans="1:2">
      <c r="A321">
        <v>54.036999999999999</v>
      </c>
      <c r="B321" t="s">
        <v>434</v>
      </c>
    </row>
    <row r="322" spans="1:2">
      <c r="A322">
        <v>24.859000000000002</v>
      </c>
      <c r="B322" t="s">
        <v>435</v>
      </c>
    </row>
    <row r="323" spans="1:2">
      <c r="A323">
        <v>34.957000000000001</v>
      </c>
      <c r="B323" t="s">
        <v>434</v>
      </c>
    </row>
    <row r="324" spans="1:2">
      <c r="A324">
        <v>70.081000000000003</v>
      </c>
      <c r="B324" t="s">
        <v>435</v>
      </c>
    </row>
    <row r="325" spans="1:2">
      <c r="A325">
        <v>56.091000000000001</v>
      </c>
      <c r="B325" t="s">
        <v>435</v>
      </c>
    </row>
    <row r="326" spans="1:2">
      <c r="A326">
        <v>64.025000000000006</v>
      </c>
      <c r="B326" t="s">
        <v>435</v>
      </c>
    </row>
    <row r="327" spans="1:2">
      <c r="A327">
        <v>22.879000000000001</v>
      </c>
      <c r="B327" t="s">
        <v>434</v>
      </c>
    </row>
    <row r="328" spans="1:2">
      <c r="A328">
        <v>7.2770000000000001</v>
      </c>
      <c r="B328" t="s">
        <v>436</v>
      </c>
    </row>
    <row r="329" spans="1:2">
      <c r="A329">
        <v>56.250999999999998</v>
      </c>
      <c r="B329" t="s">
        <v>436</v>
      </c>
    </row>
    <row r="330" spans="1:2">
      <c r="A330">
        <v>22.423999999999999</v>
      </c>
      <c r="B330" t="s">
        <v>434</v>
      </c>
    </row>
    <row r="331" spans="1:2">
      <c r="A331">
        <v>31.222999999999999</v>
      </c>
      <c r="B331" t="s">
        <v>435</v>
      </c>
    </row>
    <row r="332" spans="1:2">
      <c r="A332">
        <v>67.263999999999996</v>
      </c>
      <c r="B332" t="s">
        <v>434</v>
      </c>
    </row>
    <row r="333" spans="1:2">
      <c r="A333">
        <v>37.622</v>
      </c>
      <c r="B333" t="s">
        <v>435</v>
      </c>
    </row>
    <row r="334" spans="1:2">
      <c r="A334">
        <v>32.847000000000001</v>
      </c>
      <c r="B334" t="s">
        <v>437</v>
      </c>
    </row>
    <row r="335" spans="1:2">
      <c r="A335">
        <v>38.247999999999998</v>
      </c>
      <c r="B335" t="s">
        <v>434</v>
      </c>
    </row>
    <row r="336" spans="1:2">
      <c r="A336">
        <v>20.559000000000001</v>
      </c>
      <c r="B336" t="s">
        <v>434</v>
      </c>
    </row>
    <row r="337" spans="1:2">
      <c r="A337">
        <v>47.703000000000003</v>
      </c>
      <c r="B337" t="s">
        <v>435</v>
      </c>
    </row>
    <row r="338" spans="1:2">
      <c r="A338">
        <v>25.73</v>
      </c>
      <c r="B338" t="s">
        <v>434</v>
      </c>
    </row>
    <row r="339" spans="1:2">
      <c r="A339">
        <v>65.188000000000002</v>
      </c>
      <c r="B339" t="s">
        <v>435</v>
      </c>
    </row>
    <row r="340" spans="1:2">
      <c r="A340">
        <v>69.259</v>
      </c>
      <c r="B340" t="s">
        <v>435</v>
      </c>
    </row>
    <row r="341" spans="1:2">
      <c r="A341">
        <v>21.105</v>
      </c>
      <c r="B341" t="s">
        <v>436</v>
      </c>
    </row>
    <row r="342" spans="1:2">
      <c r="A342">
        <v>83.373000000000005</v>
      </c>
      <c r="B342" t="s">
        <v>436</v>
      </c>
    </row>
    <row r="343" spans="1:2">
      <c r="A343">
        <v>49.087000000000003</v>
      </c>
      <c r="B343" t="s">
        <v>436</v>
      </c>
    </row>
    <row r="344" spans="1:2">
      <c r="A344">
        <v>31.585000000000001</v>
      </c>
      <c r="B344" t="s">
        <v>434</v>
      </c>
    </row>
    <row r="345" spans="1:2">
      <c r="A345">
        <v>8.7080000000000002</v>
      </c>
      <c r="B345" t="s">
        <v>434</v>
      </c>
    </row>
    <row r="346" spans="1:2">
      <c r="A346">
        <v>29.417000000000002</v>
      </c>
      <c r="B346" t="s">
        <v>434</v>
      </c>
    </row>
    <row r="347" spans="1:2">
      <c r="A347">
        <v>63.65</v>
      </c>
      <c r="B347" t="s">
        <v>435</v>
      </c>
    </row>
    <row r="348" spans="1:2">
      <c r="A348">
        <v>37.139000000000003</v>
      </c>
      <c r="B348" t="s">
        <v>436</v>
      </c>
    </row>
    <row r="349" spans="1:2">
      <c r="A349">
        <v>59.518999999999998</v>
      </c>
      <c r="B349" t="s">
        <v>435</v>
      </c>
    </row>
    <row r="350" spans="1:2">
      <c r="A350">
        <v>53.723999999999997</v>
      </c>
      <c r="B350" t="s">
        <v>435</v>
      </c>
    </row>
    <row r="351" spans="1:2">
      <c r="A351">
        <v>36.396000000000001</v>
      </c>
      <c r="B351" t="s">
        <v>436</v>
      </c>
    </row>
    <row r="352" spans="1:2">
      <c r="A352">
        <v>28.404</v>
      </c>
      <c r="B352" t="s">
        <v>436</v>
      </c>
    </row>
    <row r="353" spans="1:2">
      <c r="A353">
        <v>56.265999999999998</v>
      </c>
      <c r="B353" t="s">
        <v>435</v>
      </c>
    </row>
    <row r="354" spans="1:2">
      <c r="A354">
        <v>65.697000000000003</v>
      </c>
      <c r="B354" t="s">
        <v>435</v>
      </c>
    </row>
    <row r="355" spans="1:2">
      <c r="A355">
        <v>56.802999999999997</v>
      </c>
      <c r="B355" t="s">
        <v>435</v>
      </c>
    </row>
    <row r="356" spans="1:2">
      <c r="A356">
        <v>68.638000000000005</v>
      </c>
      <c r="B356" t="s">
        <v>435</v>
      </c>
    </row>
    <row r="357" spans="1:2">
      <c r="A357">
        <v>67.024000000000001</v>
      </c>
      <c r="B357" t="s">
        <v>435</v>
      </c>
    </row>
    <row r="358" spans="1:2">
      <c r="A358">
        <v>23.2</v>
      </c>
      <c r="B358" t="s">
        <v>436</v>
      </c>
    </row>
    <row r="359" spans="1:2">
      <c r="A359">
        <v>49.152999999999999</v>
      </c>
      <c r="B359" t="s">
        <v>435</v>
      </c>
    </row>
    <row r="360" spans="1:2">
      <c r="A360">
        <v>52.996000000000002</v>
      </c>
      <c r="B360" t="s">
        <v>436</v>
      </c>
    </row>
    <row r="361" spans="1:2">
      <c r="A361">
        <v>26.882000000000001</v>
      </c>
      <c r="B361" t="s">
        <v>434</v>
      </c>
    </row>
    <row r="362" spans="1:2">
      <c r="A362">
        <v>52.482999999999997</v>
      </c>
      <c r="B362" t="s">
        <v>435</v>
      </c>
    </row>
    <row r="363" spans="1:2">
      <c r="A363">
        <v>55.899000000000001</v>
      </c>
      <c r="B363" t="s">
        <v>435</v>
      </c>
    </row>
    <row r="364" spans="1:2">
      <c r="A364">
        <v>45.930999999999997</v>
      </c>
      <c r="B364" t="s">
        <v>434</v>
      </c>
    </row>
    <row r="365" spans="1:2">
      <c r="A365">
        <v>44.101999999999997</v>
      </c>
      <c r="B365" t="s">
        <v>436</v>
      </c>
    </row>
    <row r="366" spans="1:2">
      <c r="A366">
        <v>56.399000000000001</v>
      </c>
      <c r="B366" t="s">
        <v>436</v>
      </c>
    </row>
    <row r="367" spans="1:2">
      <c r="A367">
        <v>28.715</v>
      </c>
      <c r="B367" t="s">
        <v>435</v>
      </c>
    </row>
    <row r="368" spans="1:2">
      <c r="A368">
        <v>68.61</v>
      </c>
      <c r="B368" t="s">
        <v>436</v>
      </c>
    </row>
    <row r="369" spans="1:2">
      <c r="A369">
        <v>46.334000000000003</v>
      </c>
      <c r="B369" t="s">
        <v>436</v>
      </c>
    </row>
    <row r="370" spans="1:2">
      <c r="A370">
        <v>52.887</v>
      </c>
      <c r="B370" t="s">
        <v>434</v>
      </c>
    </row>
    <row r="371" spans="1:2">
      <c r="A371">
        <v>60.918999999999997</v>
      </c>
      <c r="B371" t="s">
        <v>435</v>
      </c>
    </row>
    <row r="372" spans="1:2">
      <c r="A372">
        <v>58.548000000000002</v>
      </c>
      <c r="B372" t="s">
        <v>436</v>
      </c>
    </row>
    <row r="373" spans="1:2">
      <c r="A373">
        <v>66.304000000000002</v>
      </c>
      <c r="B373" t="s">
        <v>434</v>
      </c>
    </row>
    <row r="374" spans="1:2">
      <c r="A374">
        <v>50.298000000000002</v>
      </c>
      <c r="B374" t="s">
        <v>435</v>
      </c>
    </row>
    <row r="375" spans="1:2">
      <c r="A375">
        <v>68.683000000000007</v>
      </c>
      <c r="B375" t="s">
        <v>436</v>
      </c>
    </row>
    <row r="376" spans="1:2">
      <c r="A376">
        <v>47.271999999999998</v>
      </c>
      <c r="B376" t="s">
        <v>436</v>
      </c>
    </row>
    <row r="377" spans="1:2">
      <c r="A377">
        <v>22.423999999999999</v>
      </c>
      <c r="B377" t="s">
        <v>435</v>
      </c>
    </row>
    <row r="378" spans="1:2">
      <c r="A378">
        <v>36.564</v>
      </c>
      <c r="B378" t="s">
        <v>436</v>
      </c>
    </row>
    <row r="379" spans="1:2">
      <c r="A379">
        <v>13.78</v>
      </c>
      <c r="B379" t="s">
        <v>436</v>
      </c>
    </row>
    <row r="380" spans="1:2">
      <c r="A380">
        <v>55.085999999999999</v>
      </c>
      <c r="B380" t="s">
        <v>435</v>
      </c>
    </row>
    <row r="381" spans="1:2">
      <c r="A381">
        <v>31.138999999999999</v>
      </c>
      <c r="B381" t="s">
        <v>437</v>
      </c>
    </row>
    <row r="382" spans="1:2">
      <c r="A382">
        <v>60.865000000000002</v>
      </c>
      <c r="B382" t="s">
        <v>434</v>
      </c>
    </row>
    <row r="383" spans="1:2">
      <c r="A383">
        <v>53.237000000000002</v>
      </c>
      <c r="B383" t="s">
        <v>435</v>
      </c>
    </row>
    <row r="384" spans="1:2">
      <c r="A384">
        <v>10.146000000000001</v>
      </c>
      <c r="B384" t="s">
        <v>435</v>
      </c>
    </row>
    <row r="385" spans="1:2">
      <c r="A385">
        <v>42.595999999999997</v>
      </c>
      <c r="B385" t="s">
        <v>435</v>
      </c>
    </row>
    <row r="386" spans="1:2">
      <c r="A386">
        <v>39.588000000000001</v>
      </c>
      <c r="B386" t="s">
        <v>435</v>
      </c>
    </row>
    <row r="387" spans="1:2">
      <c r="A387">
        <v>28.082000000000001</v>
      </c>
      <c r="B387" t="s">
        <v>435</v>
      </c>
    </row>
    <row r="388" spans="1:2">
      <c r="A388">
        <v>47.07</v>
      </c>
      <c r="B388" t="s">
        <v>434</v>
      </c>
    </row>
    <row r="389" spans="1:2">
      <c r="A389">
        <v>47.037999999999997</v>
      </c>
      <c r="B389" t="s">
        <v>435</v>
      </c>
    </row>
    <row r="390" spans="1:2">
      <c r="A390">
        <v>38.031999999999996</v>
      </c>
      <c r="B390" t="s">
        <v>437</v>
      </c>
    </row>
    <row r="391" spans="1:2">
      <c r="A391">
        <v>61.677</v>
      </c>
      <c r="B391" t="s">
        <v>435</v>
      </c>
    </row>
    <row r="392" spans="1:2">
      <c r="A392">
        <v>29.225000000000001</v>
      </c>
      <c r="B392" t="s">
        <v>434</v>
      </c>
    </row>
    <row r="393" spans="1:2">
      <c r="A393">
        <v>53.48</v>
      </c>
      <c r="B393" t="s">
        <v>437</v>
      </c>
    </row>
    <row r="394" spans="1:2">
      <c r="A394">
        <v>36.409999999999997</v>
      </c>
      <c r="B394" t="s">
        <v>436</v>
      </c>
    </row>
    <row r="395" spans="1:2">
      <c r="A395">
        <v>33.863</v>
      </c>
      <c r="B395" t="s">
        <v>436</v>
      </c>
    </row>
    <row r="396" spans="1:2">
      <c r="A396">
        <v>93.712999999999994</v>
      </c>
      <c r="B396" t="s">
        <v>435</v>
      </c>
    </row>
    <row r="397" spans="1:2">
      <c r="A397">
        <v>47.353000000000002</v>
      </c>
      <c r="B397" t="s">
        <v>434</v>
      </c>
    </row>
    <row r="398" spans="1:2">
      <c r="A398">
        <v>19.672999999999998</v>
      </c>
      <c r="B398" t="s">
        <v>435</v>
      </c>
    </row>
    <row r="399" spans="1:2">
      <c r="A399">
        <v>123.724</v>
      </c>
      <c r="B399" t="s">
        <v>434</v>
      </c>
    </row>
    <row r="400" spans="1:2">
      <c r="A400">
        <v>12.815</v>
      </c>
      <c r="B400" t="s">
        <v>436</v>
      </c>
    </row>
    <row r="401" spans="1:2">
      <c r="A401">
        <v>22.757000000000001</v>
      </c>
      <c r="B401" t="s">
        <v>435</v>
      </c>
    </row>
  </sheetData>
  <mergeCells count="31">
    <mergeCell ref="G69:H69"/>
    <mergeCell ref="G71:H71"/>
    <mergeCell ref="G76:H76"/>
    <mergeCell ref="G80:H80"/>
    <mergeCell ref="F1:H1"/>
    <mergeCell ref="I46:J46"/>
    <mergeCell ref="I48:J48"/>
    <mergeCell ref="I50:J50"/>
    <mergeCell ref="I55:J55"/>
    <mergeCell ref="I59:J59"/>
    <mergeCell ref="G67:H67"/>
    <mergeCell ref="G37:H37"/>
    <mergeCell ref="F46:G46"/>
    <mergeCell ref="F48:G48"/>
    <mergeCell ref="F50:G50"/>
    <mergeCell ref="F55:G55"/>
    <mergeCell ref="F59:G59"/>
    <mergeCell ref="I14:J14"/>
    <mergeCell ref="I18:J18"/>
    <mergeCell ref="G24:H24"/>
    <mergeCell ref="G26:H26"/>
    <mergeCell ref="G28:H28"/>
    <mergeCell ref="G33:H33"/>
    <mergeCell ref="F5:G5"/>
    <mergeCell ref="F7:G7"/>
    <mergeCell ref="F9:G9"/>
    <mergeCell ref="F14:G14"/>
    <mergeCell ref="F18:G18"/>
    <mergeCell ref="I5:J5"/>
    <mergeCell ref="I7:J7"/>
    <mergeCell ref="I9:J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9C6C1-7A96-2844-A3C6-E48F659F5898}">
  <dimension ref="B2:K22"/>
  <sheetViews>
    <sheetView workbookViewId="0">
      <selection activeCell="J37" sqref="J37"/>
    </sheetView>
  </sheetViews>
  <sheetFormatPr baseColWidth="10" defaultColWidth="9.1640625" defaultRowHeight="15"/>
  <cols>
    <col min="1" max="1" width="9.1640625" style="4"/>
    <col min="2" max="2" width="46.5" style="4" customWidth="1"/>
    <col min="3" max="5" width="9.1640625" style="4"/>
    <col min="6" max="6" width="44.33203125" style="4" customWidth="1"/>
    <col min="7" max="9" width="9.1640625" style="4"/>
    <col min="10" max="10" width="46.33203125" style="5" customWidth="1"/>
    <col min="11" max="11" width="9.1640625" style="5"/>
    <col min="12" max="16384" width="9.1640625" style="4"/>
  </cols>
  <sheetData>
    <row r="2" spans="2:11">
      <c r="B2" s="3" t="s">
        <v>465</v>
      </c>
      <c r="F2" s="3" t="s">
        <v>465</v>
      </c>
    </row>
    <row r="4" spans="2:11">
      <c r="B4" s="6" t="s">
        <v>466</v>
      </c>
      <c r="F4" s="6" t="s">
        <v>467</v>
      </c>
      <c r="J4" s="92" t="s">
        <v>468</v>
      </c>
      <c r="K4" s="92"/>
    </row>
    <row r="5" spans="2:11" ht="16" thickBot="1"/>
    <row r="6" spans="2:11" ht="13">
      <c r="B6" s="93" t="s">
        <v>469</v>
      </c>
      <c r="C6" s="94"/>
      <c r="F6" s="93" t="s">
        <v>469</v>
      </c>
      <c r="G6" s="94"/>
      <c r="J6" s="95" t="s">
        <v>470</v>
      </c>
      <c r="K6" s="96"/>
    </row>
    <row r="7" spans="2:11">
      <c r="B7" s="7"/>
      <c r="C7" s="8"/>
      <c r="F7" s="7"/>
      <c r="G7" s="8"/>
      <c r="J7" s="9"/>
      <c r="K7" s="10"/>
    </row>
    <row r="8" spans="2:11" ht="13">
      <c r="B8" s="90" t="s">
        <v>471</v>
      </c>
      <c r="C8" s="91"/>
      <c r="F8" s="90" t="s">
        <v>471</v>
      </c>
      <c r="G8" s="91"/>
      <c r="J8" s="97" t="s">
        <v>471</v>
      </c>
      <c r="K8" s="98"/>
    </row>
    <row r="9" spans="2:11" ht="13">
      <c r="B9" s="13" t="s">
        <v>472</v>
      </c>
      <c r="C9" s="14"/>
      <c r="F9" s="13" t="s">
        <v>473</v>
      </c>
      <c r="G9" s="14"/>
      <c r="J9" s="13" t="s">
        <v>474</v>
      </c>
      <c r="K9" s="15"/>
    </row>
    <row r="10" spans="2:11" ht="13">
      <c r="B10" s="13" t="s">
        <v>475</v>
      </c>
      <c r="C10" s="14"/>
      <c r="F10" s="13" t="s">
        <v>476</v>
      </c>
      <c r="G10" s="14"/>
      <c r="J10" s="13" t="s">
        <v>477</v>
      </c>
      <c r="K10" s="15"/>
    </row>
    <row r="11" spans="2:11" ht="13">
      <c r="B11" s="13" t="s">
        <v>474</v>
      </c>
      <c r="C11" s="14"/>
      <c r="F11" s="13" t="s">
        <v>474</v>
      </c>
      <c r="G11" s="14"/>
      <c r="J11" s="13" t="s">
        <v>478</v>
      </c>
      <c r="K11" s="16"/>
    </row>
    <row r="12" spans="2:11">
      <c r="B12" s="13" t="s">
        <v>479</v>
      </c>
      <c r="C12" s="17"/>
      <c r="F12" s="13" t="s">
        <v>478</v>
      </c>
      <c r="G12" s="17"/>
      <c r="J12" s="18"/>
      <c r="K12" s="19"/>
    </row>
    <row r="13" spans="2:11">
      <c r="B13" s="20"/>
      <c r="C13" s="21"/>
      <c r="F13" s="20"/>
      <c r="G13" s="21"/>
      <c r="J13" s="18"/>
      <c r="K13" s="22"/>
    </row>
    <row r="14" spans="2:11" ht="13">
      <c r="B14" s="90" t="s">
        <v>480</v>
      </c>
      <c r="C14" s="91"/>
      <c r="F14" s="90" t="s">
        <v>480</v>
      </c>
      <c r="G14" s="91"/>
      <c r="J14" s="23" t="s">
        <v>480</v>
      </c>
      <c r="K14" s="24"/>
    </row>
    <row r="15" spans="2:11">
      <c r="B15" s="13" t="s">
        <v>481</v>
      </c>
      <c r="C15" s="25"/>
      <c r="F15" s="13" t="s">
        <v>481</v>
      </c>
      <c r="G15" s="25"/>
      <c r="J15" s="13" t="s">
        <v>482</v>
      </c>
      <c r="K15" s="22"/>
    </row>
    <row r="16" spans="2:11">
      <c r="B16" s="13" t="s">
        <v>483</v>
      </c>
      <c r="C16" s="25"/>
      <c r="F16" s="13" t="s">
        <v>484</v>
      </c>
      <c r="G16" s="26"/>
      <c r="J16" s="13" t="s">
        <v>483</v>
      </c>
      <c r="K16" s="27"/>
    </row>
    <row r="17" spans="2:11">
      <c r="B17" s="13" t="s">
        <v>485</v>
      </c>
      <c r="C17" s="25"/>
      <c r="F17" s="28" t="s">
        <v>486</v>
      </c>
      <c r="G17" s="25"/>
      <c r="J17" s="13" t="s">
        <v>487</v>
      </c>
      <c r="K17" s="22"/>
    </row>
    <row r="18" spans="2:11">
      <c r="B18" s="29"/>
      <c r="C18" s="30"/>
      <c r="F18" s="13" t="s">
        <v>488</v>
      </c>
      <c r="G18" s="25"/>
      <c r="J18" s="13" t="s">
        <v>489</v>
      </c>
      <c r="K18" s="27"/>
    </row>
    <row r="19" spans="2:11">
      <c r="B19" s="11" t="s">
        <v>490</v>
      </c>
      <c r="C19" s="12"/>
      <c r="F19" s="29"/>
      <c r="G19" s="30"/>
      <c r="J19" s="18"/>
      <c r="K19" s="22"/>
    </row>
    <row r="20" spans="2:11" ht="13">
      <c r="B20" s="13" t="s">
        <v>491</v>
      </c>
      <c r="C20" s="31"/>
      <c r="F20" s="90" t="s">
        <v>490</v>
      </c>
      <c r="G20" s="91"/>
      <c r="J20" s="23" t="s">
        <v>490</v>
      </c>
      <c r="K20" s="24"/>
    </row>
    <row r="21" spans="2:11" ht="14" thickBot="1">
      <c r="B21" s="32" t="s">
        <v>492</v>
      </c>
      <c r="C21" s="33"/>
      <c r="F21" s="13" t="s">
        <v>491</v>
      </c>
      <c r="G21" s="31"/>
      <c r="J21" s="13" t="s">
        <v>493</v>
      </c>
      <c r="K21" s="34"/>
    </row>
    <row r="22" spans="2:11" ht="14" thickBot="1">
      <c r="F22" s="32" t="s">
        <v>492</v>
      </c>
      <c r="G22" s="33"/>
      <c r="J22" s="32" t="s">
        <v>494</v>
      </c>
      <c r="K22" s="35"/>
    </row>
  </sheetData>
  <mergeCells count="10">
    <mergeCell ref="B14:C14"/>
    <mergeCell ref="F14:G14"/>
    <mergeCell ref="F20:G20"/>
    <mergeCell ref="J4:K4"/>
    <mergeCell ref="B6:C6"/>
    <mergeCell ref="F6:G6"/>
    <mergeCell ref="J6:K6"/>
    <mergeCell ref="B8:C8"/>
    <mergeCell ref="F8:G8"/>
    <mergeCell ref="J8:K8"/>
  </mergeCells>
  <pageMargins left="0.7" right="0.7" top="0.75" bottom="0.75" header="0.3" footer="0.3"/>
  <pageSetup paperSize="9" orientation="portrait" horizontalDpi="1200" verticalDpi="12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C7EE-E227-1E4D-9911-40E907DB7E94}">
  <dimension ref="B1:AC30"/>
  <sheetViews>
    <sheetView workbookViewId="0">
      <selection activeCell="H25" sqref="H25:K25"/>
    </sheetView>
  </sheetViews>
  <sheetFormatPr baseColWidth="10" defaultColWidth="8.33203125" defaultRowHeight="15"/>
  <cols>
    <col min="1" max="1" width="8.33203125" style="5"/>
    <col min="2" max="2" width="25" style="5" customWidth="1"/>
    <col min="3" max="3" width="3" style="5" customWidth="1"/>
    <col min="4" max="4" width="3.1640625" style="5" customWidth="1"/>
    <col min="5" max="5" width="8.5" style="5" customWidth="1"/>
    <col min="6" max="7" width="8.33203125" style="5"/>
    <col min="8" max="8" width="26.5" customWidth="1"/>
    <col min="9" max="9" width="4.33203125" customWidth="1"/>
    <col min="10" max="10" width="4.83203125" customWidth="1"/>
    <col min="13" max="13" width="8.33203125" style="5"/>
    <col min="14" max="14" width="25" style="5" customWidth="1"/>
    <col min="15" max="15" width="3" style="5" customWidth="1"/>
    <col min="16" max="16" width="3.1640625" style="5" customWidth="1"/>
    <col min="17" max="16384" width="8.33203125" style="5"/>
  </cols>
  <sheetData>
    <row r="1" spans="2:29" ht="20" customHeight="1"/>
    <row r="2" spans="2:29" ht="16" thickBot="1">
      <c r="B2" s="127" t="s">
        <v>525</v>
      </c>
      <c r="C2" s="128"/>
      <c r="D2" s="128"/>
      <c r="E2" s="128"/>
      <c r="H2" s="128" t="s">
        <v>524</v>
      </c>
      <c r="I2" s="128"/>
      <c r="J2" s="128"/>
      <c r="K2" s="128"/>
      <c r="N2" s="135" t="s">
        <v>523</v>
      </c>
      <c r="O2" s="135"/>
      <c r="P2" s="135"/>
      <c r="Q2" s="135"/>
    </row>
    <row r="3" spans="2:29">
      <c r="B3" s="139" t="s">
        <v>522</v>
      </c>
      <c r="C3" s="140"/>
      <c r="D3" s="140"/>
      <c r="E3" s="141"/>
      <c r="H3" s="136" t="s">
        <v>521</v>
      </c>
      <c r="I3" s="137"/>
      <c r="J3" s="137"/>
      <c r="K3" s="138"/>
      <c r="N3" s="139" t="s">
        <v>520</v>
      </c>
      <c r="O3" s="140"/>
      <c r="P3" s="140"/>
      <c r="Q3" s="141"/>
    </row>
    <row r="4" spans="2:29">
      <c r="B4" s="132"/>
      <c r="C4" s="133"/>
      <c r="D4" s="133"/>
      <c r="E4" s="134"/>
      <c r="H4" s="129"/>
      <c r="I4" s="130"/>
      <c r="J4" s="130"/>
      <c r="K4" s="131"/>
      <c r="N4" s="132"/>
      <c r="O4" s="133"/>
      <c r="P4" s="133"/>
      <c r="Q4" s="134"/>
      <c r="AC4" s="69"/>
    </row>
    <row r="5" spans="2:29">
      <c r="B5" s="97" t="s">
        <v>519</v>
      </c>
      <c r="C5" s="114"/>
      <c r="D5" s="114"/>
      <c r="E5" s="98"/>
      <c r="H5" s="115" t="s">
        <v>519</v>
      </c>
      <c r="I5" s="116"/>
      <c r="J5" s="116"/>
      <c r="K5" s="117"/>
      <c r="N5" s="97" t="s">
        <v>519</v>
      </c>
      <c r="O5" s="114"/>
      <c r="P5" s="114"/>
      <c r="Q5" s="98"/>
    </row>
    <row r="6" spans="2:29">
      <c r="B6" s="18" t="s">
        <v>518</v>
      </c>
      <c r="C6" s="64" t="s">
        <v>517</v>
      </c>
      <c r="D6" s="64">
        <f>IF(D7="&gt;",$AC$4,IF(D7="&lt;",$AC$5,$AC$6))</f>
        <v>0</v>
      </c>
      <c r="E6" s="72"/>
      <c r="H6" s="67" t="s">
        <v>518</v>
      </c>
      <c r="I6" s="46" t="s">
        <v>517</v>
      </c>
      <c r="J6" s="53"/>
      <c r="K6" s="71"/>
      <c r="N6" s="18" t="s">
        <v>518</v>
      </c>
      <c r="O6" s="64" t="s">
        <v>515</v>
      </c>
      <c r="P6" s="64"/>
      <c r="Q6" s="70"/>
      <c r="AB6" s="69"/>
      <c r="AC6" s="68"/>
    </row>
    <row r="7" spans="2:29">
      <c r="B7" s="18" t="s">
        <v>516</v>
      </c>
      <c r="C7" s="64" t="s">
        <v>517</v>
      </c>
      <c r="D7" s="63"/>
      <c r="E7" s="15"/>
      <c r="H7" s="67" t="s">
        <v>516</v>
      </c>
      <c r="I7" s="46" t="s">
        <v>517</v>
      </c>
      <c r="J7" s="66"/>
      <c r="K7" s="65"/>
      <c r="N7" s="18" t="s">
        <v>516</v>
      </c>
      <c r="O7" s="64" t="s">
        <v>515</v>
      </c>
      <c r="P7" s="63"/>
      <c r="Q7" s="16"/>
    </row>
    <row r="8" spans="2:29">
      <c r="B8" s="58" t="s">
        <v>514</v>
      </c>
      <c r="C8" s="57"/>
      <c r="D8" s="57"/>
      <c r="E8" s="62" t="str">
        <f>IF(D7="&lt;","Lower",IF(D7="&gt;","Upper","Two"))</f>
        <v>Two</v>
      </c>
      <c r="H8" s="61" t="s">
        <v>514</v>
      </c>
      <c r="I8" s="60"/>
      <c r="J8" s="60"/>
      <c r="K8" s="59" t="str">
        <f>IF(J7="&lt;","Lower",IF(J7="&gt;","Upper","Two"))</f>
        <v>Two</v>
      </c>
      <c r="N8" s="58" t="s">
        <v>514</v>
      </c>
      <c r="O8" s="57"/>
      <c r="P8" s="57"/>
      <c r="Q8" s="56" t="str">
        <f>IF(P7="&lt;","Lower",IF(P7="&gt;","Upper","Two"))</f>
        <v>Two</v>
      </c>
    </row>
    <row r="9" spans="2:29">
      <c r="B9" s="97" t="s">
        <v>513</v>
      </c>
      <c r="C9" s="114"/>
      <c r="D9" s="114"/>
      <c r="E9" s="98"/>
      <c r="H9" s="115" t="s">
        <v>513</v>
      </c>
      <c r="I9" s="116"/>
      <c r="J9" s="116"/>
      <c r="K9" s="117"/>
      <c r="N9" s="97" t="s">
        <v>513</v>
      </c>
      <c r="O9" s="114"/>
      <c r="P9" s="114"/>
      <c r="Q9" s="98"/>
    </row>
    <row r="10" spans="2:29">
      <c r="B10" s="51"/>
      <c r="D10" s="50" t="s">
        <v>512</v>
      </c>
      <c r="E10" s="49"/>
      <c r="H10" s="55"/>
      <c r="I10" s="54"/>
      <c r="J10" s="53" t="s">
        <v>512</v>
      </c>
      <c r="K10" s="52"/>
      <c r="N10" s="51"/>
      <c r="P10" s="50" t="s">
        <v>512</v>
      </c>
      <c r="Q10" s="49"/>
    </row>
    <row r="11" spans="2:29">
      <c r="B11" s="97" t="s">
        <v>511</v>
      </c>
      <c r="C11" s="114"/>
      <c r="D11" s="114"/>
      <c r="E11" s="98"/>
      <c r="H11" s="115" t="s">
        <v>511</v>
      </c>
      <c r="I11" s="116"/>
      <c r="J11" s="116"/>
      <c r="K11" s="117"/>
      <c r="N11" s="97" t="s">
        <v>511</v>
      </c>
      <c r="O11" s="114"/>
      <c r="P11" s="114"/>
      <c r="Q11" s="98"/>
    </row>
    <row r="12" spans="2:29">
      <c r="B12" s="99" t="s">
        <v>510</v>
      </c>
      <c r="C12" s="100"/>
      <c r="D12" s="101"/>
      <c r="E12" s="48"/>
      <c r="H12" s="105" t="s">
        <v>509</v>
      </c>
      <c r="I12" s="106"/>
      <c r="J12" s="107"/>
      <c r="K12" s="47"/>
      <c r="N12" s="99" t="str">
        <f>IF(P6="=","Lower Critical Value","Critical Value")</f>
        <v>Critical Value</v>
      </c>
      <c r="O12" s="100"/>
      <c r="P12" s="101"/>
      <c r="Q12" s="47"/>
    </row>
    <row r="13" spans="2:29">
      <c r="B13" s="99" t="str">
        <f>IF(D6="=","Lower Critical Value","Critical Value")</f>
        <v>Critical Value</v>
      </c>
      <c r="C13" s="100"/>
      <c r="D13" s="101"/>
      <c r="E13" s="47"/>
      <c r="H13" s="39"/>
      <c r="I13" s="38"/>
      <c r="J13" s="38"/>
      <c r="K13" s="44"/>
      <c r="N13" s="124" t="str">
        <f>IF(P6="=","Upper Critical Value","")</f>
        <v/>
      </c>
      <c r="O13" s="100"/>
      <c r="P13" s="101"/>
      <c r="Q13" s="41"/>
    </row>
    <row r="14" spans="2:29">
      <c r="B14" s="99" t="str">
        <f>IF(D6="=","Upper Critical Value","")</f>
        <v/>
      </c>
      <c r="C14" s="100"/>
      <c r="D14" s="101"/>
      <c r="E14" s="41"/>
      <c r="H14" s="125" t="s">
        <v>508</v>
      </c>
      <c r="I14" s="126"/>
      <c r="J14" s="126"/>
      <c r="K14" s="45"/>
      <c r="N14" s="97" t="s">
        <v>506</v>
      </c>
      <c r="O14" s="114"/>
      <c r="P14" s="114"/>
      <c r="Q14" s="98"/>
    </row>
    <row r="15" spans="2:29">
      <c r="B15" s="97" t="s">
        <v>506</v>
      </c>
      <c r="C15" s="114"/>
      <c r="D15" s="114"/>
      <c r="E15" s="98"/>
      <c r="H15" s="39"/>
      <c r="I15" s="38"/>
      <c r="J15" s="38"/>
      <c r="K15" s="44"/>
      <c r="N15" s="99" t="s">
        <v>503</v>
      </c>
      <c r="O15" s="100"/>
      <c r="P15" s="101"/>
      <c r="Q15" s="15"/>
    </row>
    <row r="16" spans="2:29">
      <c r="B16" s="99" t="s">
        <v>507</v>
      </c>
      <c r="C16" s="100"/>
      <c r="D16" s="101"/>
      <c r="E16" s="15"/>
      <c r="H16" s="115" t="s">
        <v>506</v>
      </c>
      <c r="I16" s="116"/>
      <c r="J16" s="116"/>
      <c r="K16" s="117"/>
      <c r="N16" s="99" t="s">
        <v>505</v>
      </c>
      <c r="O16" s="100"/>
      <c r="P16" s="101"/>
      <c r="Q16" s="15"/>
    </row>
    <row r="17" spans="2:17">
      <c r="B17" s="99" t="s">
        <v>504</v>
      </c>
      <c r="C17" s="100"/>
      <c r="D17" s="101"/>
      <c r="E17" s="15"/>
      <c r="H17" s="105" t="s">
        <v>504</v>
      </c>
      <c r="I17" s="106"/>
      <c r="J17" s="107"/>
      <c r="K17" s="43"/>
      <c r="N17" s="108"/>
      <c r="O17" s="109"/>
      <c r="P17" s="109"/>
      <c r="Q17" s="110"/>
    </row>
    <row r="18" spans="2:17">
      <c r="B18" s="99" t="s">
        <v>503</v>
      </c>
      <c r="C18" s="100"/>
      <c r="D18" s="101"/>
      <c r="E18" s="15"/>
      <c r="H18" s="105" t="s">
        <v>503</v>
      </c>
      <c r="I18" s="106"/>
      <c r="J18" s="107"/>
      <c r="K18" s="43"/>
      <c r="N18" s="99" t="s">
        <v>502</v>
      </c>
      <c r="O18" s="100"/>
      <c r="P18" s="101"/>
      <c r="Q18" s="42"/>
    </row>
    <row r="19" spans="2:17">
      <c r="B19" s="108"/>
      <c r="C19" s="109"/>
      <c r="D19" s="109"/>
      <c r="E19" s="110"/>
      <c r="H19" s="111"/>
      <c r="I19" s="112"/>
      <c r="J19" s="112"/>
      <c r="K19" s="113"/>
      <c r="N19" s="99" t="s">
        <v>501</v>
      </c>
      <c r="O19" s="100"/>
      <c r="P19" s="101"/>
      <c r="Q19" s="42"/>
    </row>
    <row r="20" spans="2:17">
      <c r="B20" s="99" t="s">
        <v>500</v>
      </c>
      <c r="C20" s="100"/>
      <c r="D20" s="101"/>
      <c r="E20" s="41"/>
      <c r="H20" s="105" t="s">
        <v>500</v>
      </c>
      <c r="I20" s="106"/>
      <c r="J20" s="107"/>
      <c r="K20" s="40"/>
      <c r="N20" s="118" t="s">
        <v>499</v>
      </c>
      <c r="O20" s="119"/>
      <c r="P20" s="120"/>
      <c r="Q20" s="37"/>
    </row>
    <row r="21" spans="2:17">
      <c r="B21" s="118" t="s">
        <v>498</v>
      </c>
      <c r="C21" s="119"/>
      <c r="D21" s="120"/>
      <c r="E21" s="37"/>
      <c r="H21" s="121" t="s">
        <v>497</v>
      </c>
      <c r="I21" s="122"/>
      <c r="J21" s="123"/>
      <c r="K21" s="37"/>
      <c r="N21" s="99" t="s">
        <v>496</v>
      </c>
      <c r="O21" s="100"/>
      <c r="P21" s="101"/>
      <c r="Q21" s="37"/>
    </row>
    <row r="22" spans="2:17">
      <c r="B22" s="99" t="s">
        <v>496</v>
      </c>
      <c r="C22" s="100"/>
      <c r="D22" s="101"/>
      <c r="E22" s="37"/>
      <c r="H22" s="105" t="s">
        <v>496</v>
      </c>
      <c r="I22" s="106"/>
      <c r="J22" s="107"/>
      <c r="K22" s="37"/>
      <c r="N22" s="108"/>
      <c r="O22" s="109"/>
      <c r="P22" s="109"/>
      <c r="Q22" s="110"/>
    </row>
    <row r="23" spans="2:17">
      <c r="B23" s="108"/>
      <c r="C23" s="109"/>
      <c r="D23" s="109"/>
      <c r="E23" s="110"/>
      <c r="H23" s="111"/>
      <c r="I23" s="112"/>
      <c r="J23" s="112"/>
      <c r="K23" s="113"/>
      <c r="N23" s="97" t="s">
        <v>495</v>
      </c>
      <c r="O23" s="114"/>
      <c r="P23" s="114"/>
      <c r="Q23" s="98"/>
    </row>
    <row r="24" spans="2:17" ht="16" thickBot="1">
      <c r="B24" s="97" t="s">
        <v>495</v>
      </c>
      <c r="C24" s="114"/>
      <c r="D24" s="114"/>
      <c r="E24" s="98"/>
      <c r="H24" s="115" t="s">
        <v>495</v>
      </c>
      <c r="I24" s="116"/>
      <c r="J24" s="116"/>
      <c r="K24" s="117"/>
      <c r="N24" s="102" t="str">
        <f>IF(Q21&lt;Q10,"Reject Null Hypothesis", "Fail to reject Null Hypothesis")</f>
        <v>Fail to reject Null Hypothesis</v>
      </c>
      <c r="O24" s="103"/>
      <c r="P24" s="103"/>
      <c r="Q24" s="104"/>
    </row>
    <row r="25" spans="2:17" ht="16" thickBot="1">
      <c r="B25" s="102" t="str">
        <f>IF(E22&lt;E10,"Reject Null Hypothesis", "Fail to reject Null Hypothesis")</f>
        <v>Fail to reject Null Hypothesis</v>
      </c>
      <c r="C25" s="103"/>
      <c r="D25" s="103"/>
      <c r="E25" s="104"/>
      <c r="H25" s="102" t="str">
        <f>IF(K22&lt;K10,"Reject Null Hypothesis", "Fail to reject Null Hypothesis")</f>
        <v>Fail to reject Null Hypothesis</v>
      </c>
      <c r="I25" s="103"/>
      <c r="J25" s="103"/>
      <c r="K25" s="104"/>
    </row>
    <row r="30" spans="2:17">
      <c r="B30" s="36"/>
    </row>
  </sheetData>
  <mergeCells count="57">
    <mergeCell ref="B2:E2"/>
    <mergeCell ref="H4:K4"/>
    <mergeCell ref="N4:Q4"/>
    <mergeCell ref="B4:E4"/>
    <mergeCell ref="B5:E5"/>
    <mergeCell ref="H2:K2"/>
    <mergeCell ref="N2:Q2"/>
    <mergeCell ref="H3:K3"/>
    <mergeCell ref="N3:Q3"/>
    <mergeCell ref="B3:E3"/>
    <mergeCell ref="H5:K5"/>
    <mergeCell ref="N5:Q5"/>
    <mergeCell ref="N9:Q9"/>
    <mergeCell ref="H11:K11"/>
    <mergeCell ref="N11:Q11"/>
    <mergeCell ref="B14:D14"/>
    <mergeCell ref="H12:J12"/>
    <mergeCell ref="N12:P12"/>
    <mergeCell ref="B13:D13"/>
    <mergeCell ref="N13:P13"/>
    <mergeCell ref="H14:J14"/>
    <mergeCell ref="N14:Q14"/>
    <mergeCell ref="B11:E11"/>
    <mergeCell ref="B12:D12"/>
    <mergeCell ref="B9:E9"/>
    <mergeCell ref="H9:K9"/>
    <mergeCell ref="B15:E15"/>
    <mergeCell ref="N15:P15"/>
    <mergeCell ref="B16:D16"/>
    <mergeCell ref="H16:K16"/>
    <mergeCell ref="N16:P16"/>
    <mergeCell ref="H17:J17"/>
    <mergeCell ref="N17:Q17"/>
    <mergeCell ref="H18:J18"/>
    <mergeCell ref="N18:P18"/>
    <mergeCell ref="B19:E19"/>
    <mergeCell ref="H19:K19"/>
    <mergeCell ref="N19:P19"/>
    <mergeCell ref="B18:D18"/>
    <mergeCell ref="B17:D17"/>
    <mergeCell ref="H20:J20"/>
    <mergeCell ref="N20:P20"/>
    <mergeCell ref="B21:D21"/>
    <mergeCell ref="H21:J21"/>
    <mergeCell ref="N21:P21"/>
    <mergeCell ref="B20:D20"/>
    <mergeCell ref="B22:D22"/>
    <mergeCell ref="B25:E25"/>
    <mergeCell ref="H25:K25"/>
    <mergeCell ref="H22:J22"/>
    <mergeCell ref="N22:Q22"/>
    <mergeCell ref="H23:K23"/>
    <mergeCell ref="N23:Q23"/>
    <mergeCell ref="B24:E24"/>
    <mergeCell ref="H24:K24"/>
    <mergeCell ref="N24:Q24"/>
    <mergeCell ref="B23:E23"/>
  </mergeCells>
  <conditionalFormatting sqref="Q13 E14">
    <cfRule type="cellIs" dxfId="0" priority="1" stopIfTrue="1" operator="notEqual">
      <formula>""</formula>
    </cfRule>
  </conditionalFormatting>
  <pageMargins left="0.7" right="0.7" top="0.75" bottom="0.75" header="0.3" footer="0.3"/>
  <pageSetup paperSize="9"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D1FB3-1338-8240-B1CC-F08A1F062694}">
  <dimension ref="B2:H16"/>
  <sheetViews>
    <sheetView workbookViewId="0">
      <selection activeCell="G39" sqref="G39:H53"/>
    </sheetView>
  </sheetViews>
  <sheetFormatPr baseColWidth="10" defaultColWidth="9.1640625" defaultRowHeight="13"/>
  <cols>
    <col min="1" max="1" width="9.1640625" style="4"/>
    <col min="2" max="2" width="40.33203125" style="4" customWidth="1"/>
    <col min="3" max="6" width="9.1640625" style="4"/>
    <col min="7" max="7" width="46.5" style="4" bestFit="1" customWidth="1"/>
    <col min="8" max="16384" width="9.1640625" style="4"/>
  </cols>
  <sheetData>
    <row r="2" spans="2:8">
      <c r="B2" s="142" t="s">
        <v>468</v>
      </c>
      <c r="C2" s="142"/>
      <c r="G2" s="142" t="s">
        <v>465</v>
      </c>
      <c r="H2" s="142"/>
    </row>
    <row r="3" spans="2:8" ht="14" thickBot="1"/>
    <row r="4" spans="2:8" ht="15">
      <c r="B4" s="136" t="s">
        <v>534</v>
      </c>
      <c r="C4" s="138"/>
      <c r="G4" s="136" t="s">
        <v>533</v>
      </c>
      <c r="H4" s="138"/>
    </row>
    <row r="5" spans="2:8" ht="15">
      <c r="B5" s="87"/>
      <c r="C5" s="86"/>
      <c r="G5" s="87"/>
      <c r="H5" s="86"/>
    </row>
    <row r="6" spans="2:8" ht="15">
      <c r="B6" s="115" t="s">
        <v>471</v>
      </c>
      <c r="C6" s="117"/>
      <c r="G6" s="115" t="s">
        <v>471</v>
      </c>
      <c r="H6" s="117"/>
    </row>
    <row r="7" spans="2:8" ht="15">
      <c r="B7" s="67" t="s">
        <v>532</v>
      </c>
      <c r="C7" s="85"/>
      <c r="G7" s="67" t="s">
        <v>531</v>
      </c>
      <c r="H7" s="84"/>
    </row>
    <row r="8" spans="2:8" ht="15">
      <c r="B8" s="67" t="s">
        <v>530</v>
      </c>
      <c r="C8" s="83"/>
      <c r="G8" s="67" t="s">
        <v>530</v>
      </c>
      <c r="H8" s="82"/>
    </row>
    <row r="9" spans="2:8" ht="15">
      <c r="B9" s="67" t="s">
        <v>478</v>
      </c>
      <c r="C9" s="81"/>
      <c r="G9" s="67" t="s">
        <v>478</v>
      </c>
      <c r="H9" s="81"/>
    </row>
    <row r="10" spans="2:8" ht="15">
      <c r="B10" s="80"/>
      <c r="C10" s="79"/>
      <c r="G10" s="80"/>
      <c r="H10" s="79"/>
    </row>
    <row r="11" spans="2:8" ht="15">
      <c r="B11" s="115" t="s">
        <v>480</v>
      </c>
      <c r="C11" s="117"/>
      <c r="G11" s="115" t="s">
        <v>480</v>
      </c>
      <c r="H11" s="117"/>
    </row>
    <row r="12" spans="2:8" ht="15">
      <c r="B12" s="67" t="s">
        <v>529</v>
      </c>
      <c r="C12" s="78"/>
      <c r="G12" s="67" t="s">
        <v>529</v>
      </c>
      <c r="H12" s="77"/>
    </row>
    <row r="13" spans="2:8" ht="15">
      <c r="B13" s="67" t="s">
        <v>528</v>
      </c>
      <c r="C13" s="77"/>
      <c r="G13" s="67" t="s">
        <v>528</v>
      </c>
      <c r="H13" s="77"/>
    </row>
    <row r="14" spans="2:8" ht="15">
      <c r="B14" s="76"/>
      <c r="C14" s="75"/>
      <c r="G14" s="76"/>
      <c r="H14" s="75"/>
    </row>
    <row r="15" spans="2:8" ht="15">
      <c r="B15" s="115" t="s">
        <v>527</v>
      </c>
      <c r="C15" s="117"/>
      <c r="G15" s="115" t="s">
        <v>527</v>
      </c>
      <c r="H15" s="117"/>
    </row>
    <row r="16" spans="2:8" ht="16" thickBot="1">
      <c r="B16" s="74" t="s">
        <v>526</v>
      </c>
      <c r="C16" s="73"/>
      <c r="G16" s="74" t="s">
        <v>526</v>
      </c>
      <c r="H16" s="73"/>
    </row>
  </sheetData>
  <mergeCells count="10">
    <mergeCell ref="B11:C11"/>
    <mergeCell ref="G11:H11"/>
    <mergeCell ref="B15:C15"/>
    <mergeCell ref="G15:H15"/>
    <mergeCell ref="B2:C2"/>
    <mergeCell ref="G2:H2"/>
    <mergeCell ref="B4:C4"/>
    <mergeCell ref="G4:H4"/>
    <mergeCell ref="B6:C6"/>
    <mergeCell ref="G6:H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Variable Descriptions</vt:lpstr>
      <vt:lpstr>Customer Data Set</vt:lpstr>
      <vt:lpstr>Q1(a)</vt:lpstr>
      <vt:lpstr>Q1(b)</vt:lpstr>
      <vt:lpstr>Q2(a)</vt:lpstr>
      <vt:lpstr>Q2(b)</vt:lpstr>
      <vt:lpstr>Q2(c)</vt:lpstr>
      <vt:lpstr>Q3(a)</vt:lpstr>
      <vt:lpstr>Q3(b)</vt:lpstr>
      <vt:lpstr>Q4(a)</vt:lpstr>
      <vt:lpstr>Q4(b)</vt:lpstr>
      <vt:lpstr>Q5</vt:lpstr>
      <vt:lpstr>CI</vt:lpstr>
      <vt:lpstr>HT</vt:lpstr>
      <vt:lpstr>SampleSize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RISHITA SHARMA</cp:lastModifiedBy>
  <dcterms:created xsi:type="dcterms:W3CDTF">2025-02-22T05:22:17Z</dcterms:created>
  <dcterms:modified xsi:type="dcterms:W3CDTF">2025-05-05T05:32:15Z</dcterms:modified>
</cp:coreProperties>
</file>